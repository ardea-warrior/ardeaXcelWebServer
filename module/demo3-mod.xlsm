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630" windowWidth="16635" windowHeight="10230" activeTab="1"/>
  </bookViews>
  <sheets>
    <sheet name="gate" sheetId="2" r:id="rId1"/>
    <sheet name="NSP" sheetId="3" r:id="rId2"/>
    <sheet name="Data" sheetId="4" r:id="rId3"/>
    <sheet name="Readme" sheetId="5" r:id="rId4"/>
  </sheets>
  <functionGroups builtInGroupCount="17"/>
  <externalReferences>
    <externalReference r:id="rId5"/>
    <externalReference r:id="rId6"/>
    <externalReference r:id="rId7"/>
  </externalReferences>
  <definedNames>
    <definedName name="\a">#REF!</definedName>
    <definedName name="_Fill" hidden="1">#REF!</definedName>
    <definedName name="_Key1" hidden="1">#REF!</definedName>
    <definedName name="_Order1" hidden="1">255</definedName>
    <definedName name="_Sort" hidden="1">#REF!</definedName>
    <definedName name="aa">[1]Input_Asm_Syar!#REF!</definedName>
    <definedName name="abc">#REF!</definedName>
    <definedName name="Aktetap">#REF!</definedName>
    <definedName name="aktiva">'[2]Sandi laba rugi'!#REF!</definedName>
    <definedName name="Aktlain">#REF!</definedName>
    <definedName name="Aktprod">#REF!</definedName>
    <definedName name="Asumsi_Sr1">#REF!</definedName>
    <definedName name="Asumsi_Sr10">#REF!</definedName>
    <definedName name="Asumsi_Sr11">#REF!</definedName>
    <definedName name="Asumsi_Sr12">#REF!</definedName>
    <definedName name="Asumsi_Sr13">#REF!</definedName>
    <definedName name="Asumsi_Sr14">#REF!</definedName>
    <definedName name="Asumsi_Sr15">#REF!</definedName>
    <definedName name="Asumsi_Sr16">#REF!</definedName>
    <definedName name="Asumsi_Sr2">#REF!</definedName>
    <definedName name="Asumsi_Sr3">#REF!</definedName>
    <definedName name="Asumsi_Sr4">#REF!</definedName>
    <definedName name="Asumsi_Sr5">#REF!</definedName>
    <definedName name="Asumsi_Sr6">#REF!</definedName>
    <definedName name="Asumsi_Sr7">#REF!</definedName>
    <definedName name="Asumsi_Sr8">#REF!</definedName>
    <definedName name="Asumsi_Sr9">#REF!</definedName>
    <definedName name="Deropen">#REF!</definedName>
    <definedName name="EA">#REF!</definedName>
    <definedName name="EAM">#REF!</definedName>
    <definedName name="Ekuitas">#REF!</definedName>
    <definedName name="Fee">#REF!</definedName>
    <definedName name="Indic">#REF!</definedName>
    <definedName name="KAP">#REF!</definedName>
    <definedName name="Kas">#REF!</definedName>
    <definedName name="Kredit">#REF!</definedName>
    <definedName name="Kredit_B">#REF!</definedName>
    <definedName name="LRSyr">[3]Input_Asm_Syar!#REF!</definedName>
    <definedName name="Macro_Sr1">#REF!</definedName>
    <definedName name="Macro2">[3]Input_Asm!#REF!</definedName>
    <definedName name="Menu">#REF!</definedName>
    <definedName name="menu_makro">#REF!</definedName>
    <definedName name="MenuRange">#REF!</definedName>
    <definedName name="MenuRange_Syar">#REF!</definedName>
    <definedName name="NRS">[1]Input_Asm_Syar!#REF!</definedName>
    <definedName name="NRSyr">[3]Input_Asm_Syar!#REF!</definedName>
    <definedName name="OFF">#REF!</definedName>
    <definedName name="params">gate!$C$3</definedName>
    <definedName name="pasiva">'[2]Sandi laba rugi'!#REF!</definedName>
    <definedName name="Per_EA">#REF!</definedName>
    <definedName name="Per_TPF">#REF!</definedName>
    <definedName name="Pinj">#REF!</definedName>
    <definedName name="PJK">#REF!</definedName>
    <definedName name="PNO">#REF!</definedName>
    <definedName name="POL">#REF!</definedName>
    <definedName name="_xlnm.Print_Area" localSheetId="1">NSP!$A$1:$U$24</definedName>
    <definedName name="Print_Area_BB">#REF!</definedName>
    <definedName name="Print_Area_MI">#REF!</definedName>
    <definedName name="PSW_BACK_0" hidden="1">NSP!$R$15</definedName>
    <definedName name="PSW_CALCULATE_0" hidden="1">NSP!$C$15</definedName>
    <definedName name="PSW_CUSTOM_BUTTON_0" hidden="1">NSP!$L$15</definedName>
    <definedName name="PSWInput_0_0" hidden="1">NSP!$G$8</definedName>
    <definedName name="PSWInput_0_1" hidden="1">NSP!$G$9</definedName>
    <definedName name="PSWInput_0_2" hidden="1">NSP!$G$11</definedName>
    <definedName name="PSWInput_0_3" hidden="1">NSP!$G$13</definedName>
    <definedName name="PSWInput_0_4" hidden="1">NSP!$P$8</definedName>
    <definedName name="PSWInput_0_5" hidden="1">NSP!$P$9</definedName>
    <definedName name="PSWInput_0_6" hidden="1">NSP!$P$11</definedName>
    <definedName name="PSWInput_0_7" hidden="1">NSP!$P$13</definedName>
    <definedName name="PSWList_0_1" hidden="1">NSP!$V$8:$V$106</definedName>
    <definedName name="PSWList_0_2" hidden="1">NSP!$X$8:$X$9</definedName>
    <definedName name="PSWList_0_4" hidden="1">NSP!$V$8:$V$106</definedName>
    <definedName name="PSWList_0_6" hidden="1">NSP!$V$8:$V$106</definedName>
    <definedName name="PSWOutput_0" hidden="1">NSP!$A$1:$U$24</definedName>
    <definedName name="RAK">#REF!</definedName>
    <definedName name="returns">gate!$C$4</definedName>
    <definedName name="runMacro">gate!$C$2</definedName>
    <definedName name="SBRT">#REF!</definedName>
    <definedName name="SBRT_Kr">#REF!</definedName>
    <definedName name="SBRTAP">#REF!</definedName>
    <definedName name="SBRTDPK">#REF!</definedName>
    <definedName name="set_maxSetting">gate!$C$7</definedName>
    <definedName name="set_sheetname">gate!$C$8</definedName>
    <definedName name="SI">#REF!</definedName>
    <definedName name="Simp">#REF!</definedName>
    <definedName name="syr_1">#REF!</definedName>
    <definedName name="syr_10">#REF!</definedName>
    <definedName name="syr_11">#REF!</definedName>
    <definedName name="syr_12">#REF!</definedName>
    <definedName name="syr_13">#REF!</definedName>
    <definedName name="syr_14">#REF!</definedName>
    <definedName name="syr_15">#REF!</definedName>
    <definedName name="syr_2">#REF!</definedName>
    <definedName name="syr_3">#REF!</definedName>
    <definedName name="syr_4">#REF!</definedName>
    <definedName name="syr_5">#REF!</definedName>
    <definedName name="syr_6">#REF!</definedName>
    <definedName name="syr_7">#REF!</definedName>
    <definedName name="syr_8">#REF!</definedName>
    <definedName name="syr_9">#REF!</definedName>
    <definedName name="T_LALU">#REF!</definedName>
    <definedName name="T_SKR">#REF!</definedName>
    <definedName name="TabelBulan">#REF!</definedName>
    <definedName name="TD">#REF!</definedName>
    <definedName name="TPF">#REF!</definedName>
    <definedName name="VLS">#REF!</definedName>
    <definedName name="Wajiblain">#REF!</definedName>
  </definedNames>
  <calcPr calcId="144525"/>
</workbook>
</file>

<file path=xl/calcChain.xml><?xml version="1.0" encoding="utf-8"?>
<calcChain xmlns="http://schemas.openxmlformats.org/spreadsheetml/2006/main">
  <c r="G103" i="4" l="1"/>
  <c r="D103" i="4"/>
  <c r="E103" i="4" s="1"/>
  <c r="F102" i="4"/>
  <c r="G102" i="4" s="1"/>
  <c r="D102" i="4"/>
  <c r="E102" i="4" s="1"/>
  <c r="F101" i="4"/>
  <c r="G101" i="4" s="1"/>
  <c r="D101" i="4"/>
  <c r="E101" i="4" s="1"/>
  <c r="F100" i="4"/>
  <c r="G100" i="4" s="1"/>
  <c r="D100" i="4"/>
  <c r="E100" i="4" s="1"/>
  <c r="F99" i="4"/>
  <c r="G99" i="4" s="1"/>
  <c r="D99" i="4"/>
  <c r="E99" i="4" s="1"/>
  <c r="F98" i="4"/>
  <c r="G98" i="4" s="1"/>
  <c r="D98" i="4"/>
  <c r="E98" i="4" s="1"/>
  <c r="F97" i="4"/>
  <c r="G97" i="4" s="1"/>
  <c r="D97" i="4"/>
  <c r="E97" i="4" s="1"/>
  <c r="F96" i="4"/>
  <c r="G96" i="4" s="1"/>
  <c r="D96" i="4"/>
  <c r="E96" i="4" s="1"/>
  <c r="F95" i="4"/>
  <c r="G95" i="4" s="1"/>
  <c r="D95" i="4"/>
  <c r="E95" i="4" s="1"/>
  <c r="F94" i="4"/>
  <c r="G94" i="4" s="1"/>
  <c r="D94" i="4"/>
  <c r="E94" i="4" s="1"/>
  <c r="F93" i="4"/>
  <c r="G93" i="4" s="1"/>
  <c r="D93" i="4"/>
  <c r="E93" i="4" s="1"/>
  <c r="F92" i="4"/>
  <c r="G92" i="4" s="1"/>
  <c r="D92" i="4"/>
  <c r="E92" i="4" s="1"/>
  <c r="F91" i="4"/>
  <c r="G91" i="4" s="1"/>
  <c r="D91" i="4"/>
  <c r="E91" i="4" s="1"/>
  <c r="F90" i="4"/>
  <c r="G90" i="4" s="1"/>
  <c r="D90" i="4"/>
  <c r="E90" i="4" s="1"/>
  <c r="F89" i="4"/>
  <c r="G89" i="4" s="1"/>
  <c r="D89" i="4"/>
  <c r="E89" i="4" s="1"/>
  <c r="F88" i="4"/>
  <c r="G88" i="4" s="1"/>
  <c r="D88" i="4"/>
  <c r="E88" i="4" s="1"/>
  <c r="F87" i="4"/>
  <c r="G87" i="4" s="1"/>
  <c r="D87" i="4"/>
  <c r="E87" i="4" s="1"/>
  <c r="F86" i="4"/>
  <c r="G86" i="4" s="1"/>
  <c r="D86" i="4"/>
  <c r="E86" i="4" s="1"/>
  <c r="F85" i="4"/>
  <c r="G85" i="4" s="1"/>
  <c r="D85" i="4"/>
  <c r="E85" i="4" s="1"/>
  <c r="F84" i="4"/>
  <c r="G84" i="4" s="1"/>
  <c r="D84" i="4"/>
  <c r="E84" i="4" s="1"/>
  <c r="F83" i="4"/>
  <c r="G83" i="4" s="1"/>
  <c r="D83" i="4"/>
  <c r="E83" i="4" s="1"/>
  <c r="F82" i="4"/>
  <c r="G82" i="4" s="1"/>
  <c r="D82" i="4"/>
  <c r="E82" i="4" s="1"/>
  <c r="F81" i="4"/>
  <c r="G81" i="4" s="1"/>
  <c r="D81" i="4"/>
  <c r="E81" i="4" s="1"/>
  <c r="F80" i="4"/>
  <c r="G80" i="4" s="1"/>
  <c r="D80" i="4"/>
  <c r="E80" i="4" s="1"/>
  <c r="F79" i="4"/>
  <c r="G79" i="4" s="1"/>
  <c r="D79" i="4"/>
  <c r="E79" i="4" s="1"/>
  <c r="F78" i="4"/>
  <c r="G78" i="4" s="1"/>
  <c r="D78" i="4"/>
  <c r="E78" i="4" s="1"/>
  <c r="F77" i="4"/>
  <c r="G77" i="4" s="1"/>
  <c r="D77" i="4"/>
  <c r="E77" i="4" s="1"/>
  <c r="F76" i="4"/>
  <c r="G76" i="4" s="1"/>
  <c r="D76" i="4"/>
  <c r="E76" i="4" s="1"/>
  <c r="F75" i="4"/>
  <c r="G75" i="4" s="1"/>
  <c r="D75" i="4"/>
  <c r="E75" i="4" s="1"/>
  <c r="F74" i="4"/>
  <c r="G74" i="4" s="1"/>
  <c r="D74" i="4"/>
  <c r="E74" i="4" s="1"/>
  <c r="F73" i="4"/>
  <c r="G73" i="4" s="1"/>
  <c r="D73" i="4"/>
  <c r="E73" i="4" s="1"/>
  <c r="F72" i="4"/>
  <c r="G72" i="4" s="1"/>
  <c r="D72" i="4"/>
  <c r="E72" i="4" s="1"/>
  <c r="F71" i="4"/>
  <c r="G71" i="4" s="1"/>
  <c r="D71" i="4"/>
  <c r="E71" i="4" s="1"/>
  <c r="F70" i="4"/>
  <c r="G70" i="4" s="1"/>
  <c r="D70" i="4"/>
  <c r="E70" i="4" s="1"/>
  <c r="F69" i="4"/>
  <c r="G69" i="4" s="1"/>
  <c r="D69" i="4"/>
  <c r="E69" i="4" s="1"/>
  <c r="F68" i="4"/>
  <c r="G68" i="4" s="1"/>
  <c r="D68" i="4"/>
  <c r="E68" i="4" s="1"/>
  <c r="F67" i="4"/>
  <c r="G67" i="4" s="1"/>
  <c r="D67" i="4"/>
  <c r="E67" i="4" s="1"/>
  <c r="F66" i="4"/>
  <c r="G66" i="4" s="1"/>
  <c r="D66" i="4"/>
  <c r="E66" i="4" s="1"/>
  <c r="F65" i="4"/>
  <c r="G65" i="4" s="1"/>
  <c r="D65" i="4"/>
  <c r="E65" i="4" s="1"/>
  <c r="F64" i="4"/>
  <c r="G64" i="4" s="1"/>
  <c r="D64" i="4"/>
  <c r="E64" i="4" s="1"/>
  <c r="F63" i="4"/>
  <c r="G63" i="4" s="1"/>
  <c r="D63" i="4"/>
  <c r="E63" i="4" s="1"/>
  <c r="F62" i="4"/>
  <c r="G62" i="4" s="1"/>
  <c r="D62" i="4"/>
  <c r="E62" i="4" s="1"/>
  <c r="F61" i="4"/>
  <c r="G61" i="4" s="1"/>
  <c r="D61" i="4"/>
  <c r="E61" i="4" s="1"/>
  <c r="F60" i="4"/>
  <c r="G60" i="4" s="1"/>
  <c r="D60" i="4"/>
  <c r="E60" i="4" s="1"/>
  <c r="F59" i="4"/>
  <c r="G59" i="4" s="1"/>
  <c r="D59" i="4"/>
  <c r="E59" i="4" s="1"/>
  <c r="P17" i="3" s="1"/>
  <c r="F58" i="4"/>
  <c r="G58" i="4" s="1"/>
  <c r="D58" i="4"/>
  <c r="E58" i="4" s="1"/>
  <c r="F57" i="4"/>
  <c r="G57" i="4" s="1"/>
  <c r="D57" i="4"/>
  <c r="E57" i="4" s="1"/>
  <c r="F56" i="4"/>
  <c r="G56" i="4" s="1"/>
  <c r="D56" i="4"/>
  <c r="E56" i="4" s="1"/>
  <c r="F55" i="4"/>
  <c r="G55" i="4" s="1"/>
  <c r="D55" i="4"/>
  <c r="E55" i="4" s="1"/>
  <c r="F54" i="4"/>
  <c r="G54" i="4" s="1"/>
  <c r="D54" i="4"/>
  <c r="E54" i="4" s="1"/>
  <c r="F53" i="4"/>
  <c r="G53" i="4" s="1"/>
  <c r="D53" i="4"/>
  <c r="E53" i="4" s="1"/>
  <c r="F52" i="4"/>
  <c r="G52" i="4" s="1"/>
  <c r="D52" i="4"/>
  <c r="E52" i="4" s="1"/>
  <c r="F51" i="4"/>
  <c r="G51" i="4" s="1"/>
  <c r="D51" i="4"/>
  <c r="E51" i="4" s="1"/>
  <c r="F50" i="4"/>
  <c r="G50" i="4" s="1"/>
  <c r="D50" i="4"/>
  <c r="E50" i="4" s="1"/>
  <c r="F49" i="4"/>
  <c r="G49" i="4" s="1"/>
  <c r="D49" i="4"/>
  <c r="E49" i="4" s="1"/>
  <c r="G48" i="4"/>
  <c r="F48" i="4"/>
  <c r="E48" i="4"/>
  <c r="D48" i="4"/>
  <c r="G47" i="4"/>
  <c r="F47" i="4"/>
  <c r="E47" i="4"/>
  <c r="D47" i="4"/>
  <c r="G46" i="4"/>
  <c r="F46" i="4"/>
  <c r="E46" i="4"/>
  <c r="D46" i="4"/>
  <c r="G45" i="4"/>
  <c r="F45" i="4"/>
  <c r="E45" i="4"/>
  <c r="D45" i="4"/>
  <c r="G44" i="4"/>
  <c r="F44" i="4"/>
  <c r="E44" i="4"/>
  <c r="D44" i="4"/>
  <c r="G43" i="4"/>
  <c r="F43" i="4"/>
  <c r="E43" i="4"/>
  <c r="D43" i="4"/>
  <c r="G42" i="4"/>
  <c r="F42" i="4"/>
  <c r="E42" i="4"/>
  <c r="D42" i="4"/>
  <c r="G41" i="4"/>
  <c r="F41" i="4"/>
  <c r="E41" i="4"/>
  <c r="D41" i="4"/>
  <c r="G40" i="4"/>
  <c r="F40" i="4"/>
  <c r="E40" i="4"/>
  <c r="D40" i="4"/>
  <c r="G39" i="4"/>
  <c r="F39" i="4"/>
  <c r="E39" i="4"/>
  <c r="D39" i="4"/>
  <c r="G38" i="4"/>
  <c r="F38" i="4"/>
  <c r="E38" i="4"/>
  <c r="D38" i="4"/>
  <c r="G37" i="4"/>
  <c r="F37" i="4"/>
  <c r="E37" i="4"/>
  <c r="D37" i="4"/>
  <c r="G36" i="4"/>
  <c r="F36" i="4"/>
  <c r="E36" i="4"/>
  <c r="D36" i="4"/>
  <c r="G35" i="4"/>
  <c r="F35" i="4"/>
  <c r="E35" i="4"/>
  <c r="D35" i="4"/>
  <c r="G34" i="4"/>
  <c r="F34" i="4"/>
  <c r="E34" i="4"/>
  <c r="D34" i="4"/>
  <c r="G33" i="4"/>
  <c r="F33" i="4"/>
  <c r="E33" i="4"/>
  <c r="D33" i="4"/>
  <c r="G32" i="4"/>
  <c r="F32" i="4"/>
  <c r="E32" i="4"/>
  <c r="D32" i="4"/>
  <c r="G31" i="4"/>
  <c r="F31" i="4"/>
  <c r="E31" i="4"/>
  <c r="D31" i="4"/>
  <c r="G30" i="4"/>
  <c r="F30" i="4"/>
  <c r="E30" i="4"/>
  <c r="D30" i="4"/>
  <c r="G29" i="4"/>
  <c r="F29" i="4"/>
  <c r="E29" i="4"/>
  <c r="D29" i="4"/>
  <c r="G28" i="4"/>
  <c r="F28" i="4"/>
  <c r="E28" i="4"/>
  <c r="D28" i="4"/>
  <c r="G27" i="4"/>
  <c r="F27" i="4"/>
  <c r="E27" i="4"/>
  <c r="D27" i="4"/>
  <c r="G26" i="4"/>
  <c r="F26" i="4"/>
  <c r="E26" i="4"/>
  <c r="D26" i="4"/>
  <c r="G25" i="4"/>
  <c r="F25" i="4"/>
  <c r="E25" i="4"/>
  <c r="D25" i="4"/>
  <c r="G24" i="4"/>
  <c r="F24" i="4"/>
  <c r="E24" i="4"/>
  <c r="D24" i="4"/>
  <c r="G23" i="4"/>
  <c r="F23" i="4"/>
  <c r="E23" i="4"/>
  <c r="D23" i="4"/>
  <c r="G22" i="4"/>
  <c r="F22" i="4"/>
  <c r="E22" i="4"/>
  <c r="D22" i="4"/>
  <c r="G21" i="4"/>
  <c r="F21" i="4"/>
  <c r="E21" i="4"/>
  <c r="D21" i="4"/>
  <c r="G20" i="4"/>
  <c r="F20" i="4"/>
  <c r="E20" i="4"/>
  <c r="D20" i="4"/>
  <c r="G19" i="4"/>
  <c r="F19" i="4"/>
  <c r="E19" i="4"/>
  <c r="D19" i="4"/>
  <c r="G18" i="4"/>
  <c r="F18" i="4"/>
  <c r="E18" i="4"/>
  <c r="D18" i="4"/>
  <c r="G17" i="4"/>
  <c r="F17" i="4"/>
  <c r="E17" i="4"/>
  <c r="D17" i="4"/>
  <c r="G16" i="4"/>
  <c r="F16" i="4"/>
  <c r="E16" i="4"/>
  <c r="D16" i="4"/>
  <c r="G15" i="4"/>
  <c r="F15" i="4"/>
  <c r="E15" i="4"/>
  <c r="D15" i="4"/>
  <c r="G14" i="4"/>
  <c r="F14" i="4"/>
  <c r="E14" i="4"/>
  <c r="D14" i="4"/>
  <c r="G13" i="4"/>
  <c r="F13" i="4"/>
  <c r="E13" i="4"/>
  <c r="D13" i="4"/>
  <c r="G12" i="4"/>
  <c r="F12" i="4"/>
  <c r="E12" i="4"/>
  <c r="D12" i="4"/>
  <c r="G11" i="4"/>
  <c r="F11" i="4"/>
  <c r="E11" i="4"/>
  <c r="D11" i="4"/>
  <c r="G10" i="4"/>
  <c r="F10" i="4"/>
  <c r="E10" i="4"/>
  <c r="D10" i="4"/>
  <c r="G9" i="4"/>
  <c r="F9" i="4"/>
  <c r="E9" i="4"/>
  <c r="D9" i="4"/>
  <c r="G8" i="4"/>
  <c r="F8" i="4"/>
  <c r="E8" i="4"/>
  <c r="D8" i="4"/>
  <c r="G7" i="4"/>
  <c r="F7" i="4"/>
  <c r="E7" i="4"/>
  <c r="D7" i="4"/>
  <c r="G6" i="4"/>
  <c r="F6" i="4"/>
  <c r="E6" i="4"/>
  <c r="D6" i="4"/>
  <c r="G5" i="4"/>
  <c r="F5" i="4"/>
  <c r="E5" i="4"/>
  <c r="D5" i="4"/>
  <c r="D13" i="3"/>
  <c r="G17" i="3" s="1"/>
</calcChain>
</file>

<file path=xl/sharedStrings.xml><?xml version="1.0" encoding="utf-8"?>
<sst xmlns="http://schemas.openxmlformats.org/spreadsheetml/2006/main" count="57" uniqueCount="46">
  <si>
    <t>macro</t>
  </si>
  <si>
    <t>sheetname</t>
  </si>
  <si>
    <t>module</t>
  </si>
  <si>
    <t>params</t>
  </si>
  <si>
    <t>return</t>
  </si>
  <si>
    <t>maxsession</t>
  </si>
  <si>
    <t>Macro</t>
  </si>
  <si>
    <t>Module Setting</t>
  </si>
  <si>
    <t>{}</t>
  </si>
  <si>
    <t>Net Single Premium</t>
  </si>
  <si>
    <t>Annual Cost</t>
  </si>
  <si>
    <t>age</t>
  </si>
  <si>
    <t>Interest Rate</t>
  </si>
  <si>
    <t>Beginning Age</t>
  </si>
  <si>
    <t>Whole Life Insurance</t>
  </si>
  <si>
    <t>Age</t>
  </si>
  <si>
    <t>Policy Cost</t>
  </si>
  <si>
    <t>Whole Life Annuity</t>
  </si>
  <si>
    <t>Type of Insurance</t>
  </si>
  <si>
    <t>First Payment Age</t>
  </si>
  <si>
    <t>1958 CSO Mortality Table</t>
  </si>
  <si>
    <t>lx</t>
  </si>
  <si>
    <t>dx</t>
  </si>
  <si>
    <t>Dx</t>
  </si>
  <si>
    <t>Nx</t>
  </si>
  <si>
    <t>Cx</t>
  </si>
  <si>
    <t>Mx</t>
  </si>
  <si>
    <t>Follow the steps to enable your Net Single Premium &amp; Anual Cost Calculator.</t>
  </si>
  <si>
    <t>&gt;&gt;</t>
  </si>
  <si>
    <t>This template is prepared for calculating net single premiums and annual costs using 1958 CSO Mortality Table.</t>
  </si>
  <si>
    <t>Your Net Single Premium &amp; Anual Cost Calculator is ready to use. Following steps are for online use.</t>
  </si>
  <si>
    <t>1)</t>
  </si>
  <si>
    <t>Visit the site below:</t>
  </si>
  <si>
    <t>http://www.spreadsheetweb.com/getting_started.htm</t>
  </si>
  <si>
    <t>You will only need the username and password to create your Net Single Premium &amp; Anual Cost Calculator.</t>
  </si>
  <si>
    <t>2)</t>
  </si>
  <si>
    <t xml:space="preserve">http://trial.spreadsheetweb.com/spreadsheetweb/ </t>
  </si>
  <si>
    <t>Login to page with your new account information.</t>
  </si>
  <si>
    <t>3)</t>
  </si>
  <si>
    <t>Click "Add Web Application" to upload this file. Your Net Single Premium &amp; Anual Cost Calculator will be created automatically.</t>
  </si>
  <si>
    <t>You can simply use the Net Single Premium &amp; Anual Cost Calculator from that link or place it on your website.</t>
  </si>
  <si>
    <t>Your Net Single Premium &amp; Anual Cost Calculator will look like:</t>
  </si>
  <si>
    <t>http://www1.spreadsheetweb.com/SpreadSheetWeb/Output.aspx?ApplicationId=bcb13eed-a773-451e-8a31-3089e0ce0da6</t>
  </si>
  <si>
    <t>In order to see more online applications created with PSW you can check the link below:</t>
  </si>
  <si>
    <t>http://www.spreadsheetweb.com/demos.htm</t>
  </si>
  <si>
    <t>Copyright (c) 2009 Pagos, Inc. http://www.pagos.com/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</si>
</sst>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8" formatCode="&quot;$&quot;#,##0.00_);[Red]\(&quot;$&quot;#,##0.00\)"/>
    <numFmt numFmtId="164" formatCode="0.0"/>
    <numFmt numFmtId="165" formatCode="#,##0\ &quot;FB&quot;;\-#,##0\ &quot;FB&quot;"/>
    <numFmt numFmtId="166" formatCode="mmm\-d\-yyyy"/>
    <numFmt numFmtId="167" formatCode="###0_);\(###0\)"/>
    <numFmt numFmtId="168" formatCode="0.0%;[Red]\(0.0%\)"/>
    <numFmt numFmtId="169" formatCode="#,##0.0_);[Red]\(#,##0.0\)"/>
    <numFmt numFmtId="170" formatCode="#,##0.0_);[Red]\(#,##0.0\);&quot;N/A &quot;"/>
    <numFmt numFmtId="171" formatCode="0.00_)"/>
    <numFmt numFmtId="172" formatCode="#,##0.000_);[Red]\(#,##0.000\)"/>
    <numFmt numFmtId="173" formatCode="#,##0.0_)\ \ ;[Red]\(#,##0.0\)\ \ "/>
    <numFmt numFmtId="174" formatCode="_(&quot;$&quot;* #,##0.000_);_(&quot;$&quot;* \(#,##0.000\);_(&quot;$&quot;* &quot;-&quot;??_);_(@_)"/>
    <numFmt numFmtId="175" formatCode="_-* #,##0.00_-;\-* #,##0.00_-;_-* &quot;-&quot;??_-;_-@_-"/>
    <numFmt numFmtId="176" formatCode="0.0000000%"/>
    <numFmt numFmtId="177" formatCode="0%;[Red]\(0%\)"/>
    <numFmt numFmtId="178" formatCode="0.0000000000"/>
    <numFmt numFmtId="179" formatCode="mm/dd/yy"/>
    <numFmt numFmtId="180" formatCode="#,##0.0000"/>
    <numFmt numFmtId="181" formatCode="0.0000"/>
    <numFmt numFmtId="182" formatCode="0.000"/>
  </numFmts>
  <fonts count="2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imes New Roman"/>
      <family val="1"/>
    </font>
    <font>
      <sz val="12"/>
      <name val="Tms Rmn"/>
    </font>
    <font>
      <sz val="10"/>
      <name val="MS Serif"/>
      <family val="1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8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8"/>
      <color indexed="10"/>
      <name val="Arial"/>
      <family val="2"/>
    </font>
    <font>
      <sz val="8"/>
      <name val="Wingdings"/>
      <charset val="2"/>
    </font>
    <font>
      <sz val="8"/>
      <name val="Helv"/>
    </font>
    <font>
      <sz val="8"/>
      <name val="MS Sans Serif"/>
      <family val="2"/>
    </font>
    <font>
      <b/>
      <sz val="8"/>
      <color indexed="8"/>
      <name val="Helv"/>
    </font>
    <font>
      <sz val="8"/>
      <color indexed="9"/>
      <name val="Arial"/>
      <family val="2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charset val="162"/>
      <scheme val="minor"/>
    </font>
    <font>
      <b/>
      <sz val="14"/>
      <color theme="8" tint="-0.499984740745262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u/>
      <sz val="9"/>
      <color rgb="FF0070C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darkVertical"/>
    </fill>
    <fill>
      <patternFill patternType="solid">
        <fgColor indexed="11"/>
        <bgColor indexed="64"/>
      </patternFill>
    </fill>
    <fill>
      <patternFill patternType="solid">
        <fgColor rgb="FFFFF3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7F7F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ck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thick">
        <color auto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theme="1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ck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</borders>
  <cellStyleXfs count="61">
    <xf numFmtId="0" fontId="0" fillId="0" borderId="0"/>
    <xf numFmtId="0" fontId="3" fillId="0" borderId="0">
      <alignment horizontal="center" wrapText="1"/>
      <protection locked="0"/>
    </xf>
    <xf numFmtId="164" fontId="2" fillId="0" borderId="0" applyFill="0" applyBorder="0" applyAlignment="0"/>
    <xf numFmtId="37" fontId="4" fillId="0" borderId="0"/>
    <xf numFmtId="37" fontId="4" fillId="0" borderId="0"/>
    <xf numFmtId="37" fontId="4" fillId="0" borderId="0"/>
    <xf numFmtId="37" fontId="4" fillId="0" borderId="0"/>
    <xf numFmtId="37" fontId="4" fillId="0" borderId="0"/>
    <xf numFmtId="37" fontId="4" fillId="0" borderId="0"/>
    <xf numFmtId="37" fontId="4" fillId="0" borderId="0"/>
    <xf numFmtId="37" fontId="4" fillId="0" borderId="0"/>
    <xf numFmtId="0" fontId="5" fillId="0" borderId="0" applyNumberFormat="0" applyAlignment="0">
      <alignment horizontal="left"/>
    </xf>
    <xf numFmtId="165" fontId="2" fillId="0" borderId="0" applyFont="0" applyFill="0" applyBorder="0" applyAlignment="0"/>
    <xf numFmtId="8" fontId="2" fillId="0" borderId="0" applyFont="0" applyFill="0" applyBorder="0" applyAlignment="0"/>
    <xf numFmtId="15" fontId="6" fillId="0" borderId="0" applyFill="0" applyBorder="0" applyAlignment="0"/>
    <xf numFmtId="166" fontId="2" fillId="3" borderId="0" applyFont="0" applyFill="0" applyBorder="0" applyAlignment="0" applyProtection="0"/>
    <xf numFmtId="166" fontId="7" fillId="3" borderId="1" applyFont="0" applyFill="0" applyBorder="0" applyAlignment="0" applyProtection="0"/>
    <xf numFmtId="17" fontId="6" fillId="0" borderId="0" applyFill="0" applyBorder="0">
      <alignment horizontal="right"/>
    </xf>
    <xf numFmtId="0" fontId="8" fillId="0" borderId="0" applyNumberFormat="0" applyAlignment="0">
      <alignment horizontal="left"/>
    </xf>
    <xf numFmtId="167" fontId="2" fillId="3" borderId="0" applyFont="0" applyFill="0" applyBorder="0" applyAlignment="0"/>
    <xf numFmtId="38" fontId="9" fillId="4" borderId="0" applyNumberFormat="0" applyBorder="0" applyAlignment="0" applyProtection="0"/>
    <xf numFmtId="0" fontId="10" fillId="0" borderId="2" applyNumberFormat="0" applyAlignment="0" applyProtection="0">
      <alignment horizontal="left" vertical="center"/>
    </xf>
    <xf numFmtId="0" fontId="10" fillId="0" borderId="3">
      <alignment horizontal="left" vertical="center"/>
    </xf>
    <xf numFmtId="0" fontId="11" fillId="0" borderId="4">
      <alignment horizontal="center"/>
    </xf>
    <xf numFmtId="0" fontId="11" fillId="0" borderId="0">
      <alignment horizontal="center"/>
    </xf>
    <xf numFmtId="10" fontId="9" fillId="5" borderId="5" applyNumberFormat="0" applyBorder="0" applyAlignment="0" applyProtection="0"/>
    <xf numFmtId="8" fontId="9" fillId="3" borderId="0" applyFont="0" applyBorder="0" applyAlignment="0" applyProtection="0">
      <protection locked="0"/>
    </xf>
    <xf numFmtId="15" fontId="9" fillId="3" borderId="0" applyFont="0" applyBorder="0" applyAlignment="0" applyProtection="0">
      <protection locked="0"/>
    </xf>
    <xf numFmtId="167" fontId="9" fillId="3" borderId="0" applyFont="0" applyBorder="0" applyAlignment="0">
      <protection locked="0"/>
    </xf>
    <xf numFmtId="38" fontId="9" fillId="3" borderId="0">
      <protection locked="0"/>
    </xf>
    <xf numFmtId="168" fontId="9" fillId="3" borderId="0" applyFont="0" applyBorder="0" applyAlignment="0">
      <protection locked="0"/>
    </xf>
    <xf numFmtId="10" fontId="9" fillId="3" borderId="0">
      <protection locked="0"/>
    </xf>
    <xf numFmtId="169" fontId="12" fillId="3" borderId="0" applyNumberFormat="0" applyBorder="0" applyAlignment="0">
      <protection locked="0"/>
    </xf>
    <xf numFmtId="170" fontId="9" fillId="4" borderId="0" applyFont="0" applyBorder="0" applyAlignment="0" applyProtection="0">
      <alignment horizontal="right"/>
      <protection hidden="1"/>
    </xf>
    <xf numFmtId="37" fontId="13" fillId="0" borderId="0"/>
    <xf numFmtId="171" fontId="14" fillId="0" borderId="0"/>
    <xf numFmtId="38" fontId="9" fillId="0" borderId="0" applyFont="0" applyFill="0" applyBorder="0" applyAlignment="0"/>
    <xf numFmtId="169" fontId="2" fillId="0" borderId="0" applyFont="0" applyFill="0" applyBorder="0" applyAlignment="0"/>
    <xf numFmtId="40" fontId="9" fillId="0" borderId="0" applyFont="0" applyFill="0" applyBorder="0" applyAlignment="0"/>
    <xf numFmtId="172" fontId="9" fillId="0" borderId="0" applyFont="0" applyFill="0" applyBorder="0" applyAlignment="0"/>
    <xf numFmtId="169" fontId="6" fillId="0" borderId="0" applyNumberFormat="0" applyFill="0" applyBorder="0" applyAlignment="0" applyProtection="0"/>
    <xf numFmtId="173" fontId="9" fillId="0" borderId="0" applyFont="0" applyFill="0" applyBorder="0" applyAlignment="0" applyProtection="0"/>
    <xf numFmtId="174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6" fontId="2" fillId="0" borderId="0"/>
    <xf numFmtId="14" fontId="3" fillId="0" borderId="0">
      <alignment horizontal="center" wrapText="1"/>
      <protection locked="0"/>
    </xf>
    <xf numFmtId="177" fontId="2" fillId="0" borderId="0" applyFont="0" applyFill="0" applyBorder="0" applyAlignment="0"/>
    <xf numFmtId="168" fontId="9" fillId="0" borderId="0" applyFont="0" applyFill="0" applyBorder="0" applyAlignment="0"/>
    <xf numFmtId="10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69" fontId="15" fillId="0" borderId="0" applyNumberFormat="0" applyFill="0" applyBorder="0" applyAlignment="0" applyProtection="0">
      <alignment horizontal="left"/>
    </xf>
    <xf numFmtId="0" fontId="16" fillId="6" borderId="0" applyNumberFormat="0" applyFont="0" applyBorder="0" applyAlignment="0">
      <alignment horizontal="center"/>
    </xf>
    <xf numFmtId="179" fontId="17" fillId="0" borderId="0" applyNumberFormat="0" applyFill="0" applyBorder="0" applyAlignment="0" applyProtection="0">
      <alignment horizontal="left"/>
    </xf>
    <xf numFmtId="0" fontId="16" fillId="1" borderId="3" applyNumberFormat="0" applyFont="0" applyAlignment="0">
      <alignment horizontal="center"/>
    </xf>
    <xf numFmtId="0" fontId="18" fillId="0" borderId="0" applyNumberFormat="0" applyFill="0" applyBorder="0" applyAlignment="0">
      <alignment horizontal="center"/>
    </xf>
    <xf numFmtId="169" fontId="9" fillId="2" borderId="0" applyNumberFormat="0" applyFont="0" applyBorder="0" applyAlignment="0">
      <protection hidden="1"/>
    </xf>
    <xf numFmtId="40" fontId="19" fillId="0" borderId="0" applyBorder="0">
      <alignment horizontal="right"/>
    </xf>
    <xf numFmtId="169" fontId="2" fillId="7" borderId="0" applyNumberFormat="0" applyFont="0" applyBorder="0" applyAlignment="0" applyProtection="0"/>
    <xf numFmtId="180" fontId="2" fillId="0" borderId="0" applyFill="0" applyBorder="0" applyAlignment="0" applyProtection="0">
      <alignment horizontal="right"/>
    </xf>
    <xf numFmtId="169" fontId="20" fillId="0" borderId="0" applyNumberFormat="0" applyFill="0" applyBorder="0" applyAlignment="0" applyProtection="0"/>
    <xf numFmtId="0" fontId="1" fillId="0" borderId="0"/>
  </cellStyleXfs>
  <cellXfs count="66">
    <xf numFmtId="0" fontId="0" fillId="0" borderId="0" xfId="0"/>
    <xf numFmtId="0" fontId="1" fillId="0" borderId="6" xfId="60" applyBorder="1"/>
    <xf numFmtId="0" fontId="1" fillId="0" borderId="7" xfId="60" applyBorder="1"/>
    <xf numFmtId="0" fontId="1" fillId="0" borderId="8" xfId="60" applyBorder="1"/>
    <xf numFmtId="0" fontId="1" fillId="0" borderId="0" xfId="60"/>
    <xf numFmtId="0" fontId="1" fillId="0" borderId="9" xfId="60" applyBorder="1"/>
    <xf numFmtId="0" fontId="1" fillId="0" borderId="0" xfId="60" applyBorder="1"/>
    <xf numFmtId="0" fontId="1" fillId="0" borderId="10" xfId="60" applyBorder="1"/>
    <xf numFmtId="0" fontId="22" fillId="0" borderId="0" xfId="60" applyFont="1" applyBorder="1" applyAlignment="1">
      <alignment horizontal="center"/>
    </xf>
    <xf numFmtId="0" fontId="23" fillId="0" borderId="0" xfId="60" applyFont="1" applyBorder="1"/>
    <xf numFmtId="0" fontId="1" fillId="8" borderId="11" xfId="60" applyFill="1" applyBorder="1"/>
    <xf numFmtId="0" fontId="1" fillId="8" borderId="12" xfId="60" applyFill="1" applyBorder="1"/>
    <xf numFmtId="0" fontId="1" fillId="8" borderId="13" xfId="60" applyFill="1" applyBorder="1"/>
    <xf numFmtId="0" fontId="1" fillId="0" borderId="10" xfId="60" applyFill="1" applyBorder="1"/>
    <xf numFmtId="0" fontId="1" fillId="0" borderId="0" xfId="60" applyFill="1" applyBorder="1"/>
    <xf numFmtId="0" fontId="21" fillId="0" borderId="0" xfId="60" applyFont="1"/>
    <xf numFmtId="0" fontId="1" fillId="9" borderId="9" xfId="60" applyFill="1" applyBorder="1"/>
    <xf numFmtId="0" fontId="1" fillId="8" borderId="14" xfId="60" applyFill="1" applyBorder="1"/>
    <xf numFmtId="0" fontId="1" fillId="10" borderId="15" xfId="60" applyFill="1" applyBorder="1" applyAlignment="1">
      <alignment horizontal="center"/>
    </xf>
    <xf numFmtId="0" fontId="1" fillId="0" borderId="15" xfId="60" applyFill="1" applyBorder="1" applyAlignment="1" applyProtection="1">
      <alignment horizontal="center"/>
      <protection locked="0"/>
    </xf>
    <xf numFmtId="0" fontId="1" fillId="0" borderId="16" xfId="60" applyFill="1" applyBorder="1" applyAlignment="1" applyProtection="1">
      <alignment horizontal="center"/>
      <protection locked="0"/>
    </xf>
    <xf numFmtId="0" fontId="1" fillId="0" borderId="17" xfId="60" applyFill="1" applyBorder="1" applyAlignment="1" applyProtection="1">
      <alignment horizontal="center"/>
      <protection locked="0"/>
    </xf>
    <xf numFmtId="0" fontId="1" fillId="8" borderId="18" xfId="60" applyFill="1" applyBorder="1"/>
    <xf numFmtId="0" fontId="1" fillId="0" borderId="15" xfId="60" applyNumberFormat="1" applyFill="1" applyBorder="1" applyAlignment="1" applyProtection="1">
      <alignment horizontal="center"/>
      <protection locked="0"/>
    </xf>
    <xf numFmtId="0" fontId="1" fillId="0" borderId="16" xfId="60" applyNumberFormat="1" applyFill="1" applyBorder="1" applyAlignment="1" applyProtection="1">
      <alignment horizontal="center"/>
      <protection locked="0"/>
    </xf>
    <xf numFmtId="0" fontId="1" fillId="0" borderId="17" xfId="60" applyNumberFormat="1" applyFill="1" applyBorder="1" applyAlignment="1" applyProtection="1">
      <alignment horizontal="center"/>
      <protection locked="0"/>
    </xf>
    <xf numFmtId="0" fontId="21" fillId="0" borderId="0" xfId="60" applyNumberFormat="1" applyFont="1"/>
    <xf numFmtId="0" fontId="1" fillId="10" borderId="19" xfId="60" applyFill="1" applyBorder="1" applyAlignment="1">
      <alignment horizontal="center"/>
    </xf>
    <xf numFmtId="0" fontId="1" fillId="0" borderId="19" xfId="60" applyFill="1" applyBorder="1" applyAlignment="1" applyProtection="1">
      <alignment horizontal="center"/>
      <protection locked="0"/>
    </xf>
    <xf numFmtId="0" fontId="1" fillId="0" borderId="20" xfId="60" applyFill="1" applyBorder="1" applyAlignment="1" applyProtection="1">
      <alignment horizontal="center"/>
      <protection locked="0"/>
    </xf>
    <xf numFmtId="0" fontId="1" fillId="0" borderId="21" xfId="60" applyFill="1" applyBorder="1" applyAlignment="1" applyProtection="1">
      <alignment horizontal="center"/>
      <protection locked="0"/>
    </xf>
    <xf numFmtId="0" fontId="1" fillId="8" borderId="0" xfId="60" applyFill="1" applyBorder="1"/>
    <xf numFmtId="0" fontId="1" fillId="10" borderId="22" xfId="60" applyFill="1" applyBorder="1" applyAlignment="1">
      <alignment horizontal="center"/>
    </xf>
    <xf numFmtId="0" fontId="1" fillId="0" borderId="22" xfId="60" applyFill="1" applyBorder="1" applyAlignment="1" applyProtection="1">
      <alignment horizontal="center"/>
      <protection locked="0"/>
    </xf>
    <xf numFmtId="0" fontId="1" fillId="0" borderId="23" xfId="60" applyFill="1" applyBorder="1" applyAlignment="1" applyProtection="1">
      <alignment horizontal="center"/>
      <protection locked="0"/>
    </xf>
    <xf numFmtId="0" fontId="1" fillId="8" borderId="24" xfId="60" applyFill="1" applyBorder="1"/>
    <xf numFmtId="0" fontId="1" fillId="8" borderId="25" xfId="60" applyFill="1" applyBorder="1"/>
    <xf numFmtId="0" fontId="1" fillId="8" borderId="26" xfId="60" applyFill="1" applyBorder="1"/>
    <xf numFmtId="0" fontId="1" fillId="0" borderId="27" xfId="60" applyBorder="1" applyAlignment="1">
      <alignment horizontal="left"/>
    </xf>
    <xf numFmtId="0" fontId="1" fillId="0" borderId="27" xfId="60" applyBorder="1" applyAlignment="1">
      <alignment horizontal="right"/>
    </xf>
    <xf numFmtId="0" fontId="1" fillId="0" borderId="0" xfId="60" applyFill="1"/>
    <xf numFmtId="181" fontId="1" fillId="10" borderId="22" xfId="60" applyNumberFormat="1" applyFill="1" applyBorder="1" applyAlignment="1">
      <alignment horizontal="center"/>
    </xf>
    <xf numFmtId="181" fontId="1" fillId="10" borderId="23" xfId="60" applyNumberFormat="1" applyFill="1" applyBorder="1" applyAlignment="1">
      <alignment horizontal="center"/>
    </xf>
    <xf numFmtId="0" fontId="1" fillId="0" borderId="28" xfId="60" applyBorder="1"/>
    <xf numFmtId="0" fontId="1" fillId="0" borderId="29" xfId="60" applyBorder="1"/>
    <xf numFmtId="0" fontId="1" fillId="0" borderId="30" xfId="60" applyBorder="1"/>
    <xf numFmtId="0" fontId="24" fillId="0" borderId="0" xfId="60" applyFont="1"/>
    <xf numFmtId="0" fontId="1" fillId="0" borderId="0" xfId="60" applyNumberFormat="1"/>
    <xf numFmtId="182" fontId="1" fillId="0" borderId="0" xfId="60" applyNumberFormat="1"/>
    <xf numFmtId="0" fontId="25" fillId="11" borderId="31" xfId="60" applyFont="1" applyFill="1" applyBorder="1" applyAlignment="1">
      <alignment vertical="center"/>
    </xf>
    <xf numFmtId="0" fontId="25" fillId="11" borderId="32" xfId="60" applyFont="1" applyFill="1" applyBorder="1" applyAlignment="1">
      <alignment vertical="center"/>
    </xf>
    <xf numFmtId="0" fontId="1" fillId="11" borderId="32" xfId="60" applyFill="1" applyBorder="1" applyAlignment="1">
      <alignment vertical="center"/>
    </xf>
    <xf numFmtId="0" fontId="1" fillId="11" borderId="33" xfId="60" applyFill="1" applyBorder="1" applyAlignment="1">
      <alignment vertical="center"/>
    </xf>
    <xf numFmtId="0" fontId="25" fillId="11" borderId="34" xfId="60" applyFont="1" applyFill="1" applyBorder="1" applyAlignment="1">
      <alignment vertical="center"/>
    </xf>
    <xf numFmtId="0" fontId="25" fillId="11" borderId="0" xfId="60" applyFont="1" applyFill="1" applyBorder="1" applyAlignment="1">
      <alignment vertical="center"/>
    </xf>
    <xf numFmtId="0" fontId="26" fillId="11" borderId="0" xfId="60" applyFont="1" applyFill="1" applyBorder="1" applyAlignment="1">
      <alignment horizontal="left" vertical="center"/>
    </xf>
    <xf numFmtId="0" fontId="26" fillId="11" borderId="0" xfId="60" applyFont="1" applyFill="1" applyBorder="1" applyAlignment="1">
      <alignment horizontal="left" vertical="center"/>
    </xf>
    <xf numFmtId="0" fontId="1" fillId="11" borderId="35" xfId="60" applyFill="1" applyBorder="1" applyAlignment="1">
      <alignment vertical="center"/>
    </xf>
    <xf numFmtId="0" fontId="27" fillId="11" borderId="0" xfId="60" applyFont="1" applyFill="1" applyBorder="1" applyAlignment="1">
      <alignment vertical="center"/>
    </xf>
    <xf numFmtId="0" fontId="1" fillId="11" borderId="0" xfId="60" applyFill="1" applyBorder="1" applyAlignment="1">
      <alignment horizontal="center"/>
    </xf>
    <xf numFmtId="0" fontId="25" fillId="11" borderId="35" xfId="60" applyFont="1" applyFill="1" applyBorder="1" applyAlignment="1">
      <alignment vertical="center"/>
    </xf>
    <xf numFmtId="0" fontId="28" fillId="11" borderId="0" xfId="60" applyFont="1" applyFill="1" applyBorder="1" applyAlignment="1">
      <alignment vertical="center"/>
    </xf>
    <xf numFmtId="0" fontId="25" fillId="11" borderId="36" xfId="60" applyFont="1" applyFill="1" applyBorder="1" applyAlignment="1">
      <alignment vertical="center"/>
    </xf>
    <xf numFmtId="0" fontId="25" fillId="11" borderId="37" xfId="60" applyFont="1" applyFill="1" applyBorder="1" applyAlignment="1">
      <alignment vertical="center"/>
    </xf>
    <xf numFmtId="0" fontId="25" fillId="11" borderId="38" xfId="60" applyFont="1" applyFill="1" applyBorder="1" applyAlignment="1">
      <alignment vertical="center"/>
    </xf>
    <xf numFmtId="0" fontId="25" fillId="0" borderId="0" xfId="60" applyFont="1" applyFill="1" applyAlignment="1">
      <alignment vertical="center"/>
    </xf>
  </cellXfs>
  <cellStyles count="61">
    <cellStyle name="args.style" xfId="1"/>
    <cellStyle name="Calc Currency (0)" xfId="2"/>
    <cellStyle name="Comma  - Style1" xfId="3"/>
    <cellStyle name="Comma  - Style2" xfId="4"/>
    <cellStyle name="Comma  - Style3" xfId="5"/>
    <cellStyle name="Comma  - Style4" xfId="6"/>
    <cellStyle name="Comma  - Style5" xfId="7"/>
    <cellStyle name="Comma  - Style6" xfId="8"/>
    <cellStyle name="Comma  - Style7" xfId="9"/>
    <cellStyle name="Comma  - Style8" xfId="10"/>
    <cellStyle name="Copied" xfId="11"/>
    <cellStyle name="Currency [1]" xfId="12"/>
    <cellStyle name="Currency [2]" xfId="13"/>
    <cellStyle name="Date [d-mmm-yy]" xfId="14"/>
    <cellStyle name="Date [mm-d-yy]" xfId="15"/>
    <cellStyle name="Date [mm-d-yyyy]" xfId="16"/>
    <cellStyle name="Date [mmm-yy]" xfId="17"/>
    <cellStyle name="Entered" xfId="18"/>
    <cellStyle name="Fixed [0]" xfId="19"/>
    <cellStyle name="Grey" xfId="20"/>
    <cellStyle name="Header1" xfId="21"/>
    <cellStyle name="Header2" xfId="22"/>
    <cellStyle name="HEADINGS" xfId="23"/>
    <cellStyle name="HEADINGSTOP" xfId="24"/>
    <cellStyle name="Input [yellow]" xfId="25"/>
    <cellStyle name="Input Currency" xfId="26"/>
    <cellStyle name="Input Date" xfId="27"/>
    <cellStyle name="Input Fixed [0]" xfId="28"/>
    <cellStyle name="Input Normal" xfId="29"/>
    <cellStyle name="Input Percent" xfId="30"/>
    <cellStyle name="Input Percent [2]" xfId="31"/>
    <cellStyle name="Input Titles" xfId="32"/>
    <cellStyle name="NA is zero" xfId="33"/>
    <cellStyle name="no dec" xfId="34"/>
    <cellStyle name="Normal" xfId="0" builtinId="0"/>
    <cellStyle name="Normal - Style1" xfId="35"/>
    <cellStyle name="Normal [0]" xfId="36"/>
    <cellStyle name="Normal [1]" xfId="37"/>
    <cellStyle name="Normal [2]" xfId="38"/>
    <cellStyle name="Normal [3]" xfId="39"/>
    <cellStyle name="Normal 2" xfId="60"/>
    <cellStyle name="Normal Bold" xfId="40"/>
    <cellStyle name="Normal Pct" xfId="41"/>
    <cellStyle name="NPPESalesPct" xfId="42"/>
    <cellStyle name="NWI%S" xfId="43"/>
    <cellStyle name="pc1" xfId="44"/>
    <cellStyle name="per.style" xfId="45"/>
    <cellStyle name="Percent [0]" xfId="46"/>
    <cellStyle name="Percent [1]" xfId="47"/>
    <cellStyle name="Percent [2]" xfId="48"/>
    <cellStyle name="PercentSales" xfId="49"/>
    <cellStyle name="Red font" xfId="50"/>
    <cellStyle name="regstoresfromspecstores" xfId="51"/>
    <cellStyle name="RevList" xfId="52"/>
    <cellStyle name="SHADEDSTORES" xfId="53"/>
    <cellStyle name="specstores" xfId="54"/>
    <cellStyle name="Strange" xfId="55"/>
    <cellStyle name="Subtotal" xfId="56"/>
    <cellStyle name="Test [green]" xfId="57"/>
    <cellStyle name="TFCF" xfId="58"/>
    <cellStyle name="White" xfId="5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A_NTT\A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bkpo\sys\USERS\ANGGARAN\RIKA\RUDYANTO\TEMP\ITUNG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myproject\jateng\B&amp;M%202013\Template%20Konvensional\BEP\NTT\Bank\RBB%20Inter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Menu"/>
      <sheetName val="Mnu_Asm+Mcr"/>
      <sheetName val="Input_Asm"/>
      <sheetName val="Mnu_Asm+Mcr_Sy"/>
      <sheetName val="Input_Asm_Syar"/>
      <sheetName val="Info"/>
      <sheetName val="Chart1"/>
      <sheetName val="Chart2"/>
      <sheetName val="Chart3"/>
      <sheetName val="Chart4"/>
      <sheetName val="Message"/>
      <sheetName val="Assumption"/>
      <sheetName val="Ex Summary"/>
      <sheetName val="BES"/>
      <sheetName val="HL"/>
      <sheetName val="Ratios"/>
      <sheetName val="Act_Ratio"/>
      <sheetName val="BI_Ratios"/>
      <sheetName val="Rating"/>
      <sheetName val="BS"/>
      <sheetName val="ASBS"/>
      <sheetName val="IS"/>
      <sheetName val="ASIS"/>
      <sheetName val="OFF"/>
      <sheetName val="ASOFF"/>
      <sheetName val="BS $"/>
      <sheetName val="OFF $"/>
      <sheetName val="Syariah"/>
      <sheetName val="AS_Syar"/>
      <sheetName val="Int Inc"/>
      <sheetName val="Int Exp"/>
      <sheetName val="BLR"/>
      <sheetName val="NPL_"/>
      <sheetName val="NPL"/>
      <sheetName val="CAR_"/>
      <sheetName val="CAR"/>
      <sheetName val="NOP"/>
      <sheetName val="OHC"/>
      <sheetName val="Loans"/>
      <sheetName val="Deposits"/>
      <sheetName val="G Bonds"/>
      <sheetName val="Securities"/>
      <sheetName val="INV"/>
      <sheetName val="FA"/>
      <sheetName val="BSM"/>
      <sheetName val="ISM"/>
      <sheetName val="OFFM"/>
      <sheetName val="HLM"/>
      <sheetName val="RTOM"/>
      <sheetName val="OHCM"/>
      <sheetName val="LoansM"/>
      <sheetName val="DepositsM"/>
      <sheetName val="HS"/>
      <sheetName val="HS_S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nnual report"/>
      <sheetName val="Data for Broker link"/>
      <sheetName val="31 Sept 2000"/>
      <sheetName val="30 Okt 2000"/>
      <sheetName val="30 Nop 2000"/>
      <sheetName val="29 Desember 2000"/>
      <sheetName val="Sandi Juli"/>
      <sheetName val="Sandi Sept"/>
      <sheetName val="Sandi laba rugi"/>
      <sheetName val="Form-1"/>
      <sheetName val="Form-1A"/>
      <sheetName val="Form-2"/>
      <sheetName val="Form-3"/>
      <sheetName val="Form-4"/>
      <sheetName val="Form-5"/>
      <sheetName val="Form-6"/>
      <sheetName val="Form-7"/>
      <sheetName val="Form-7A"/>
      <sheetName val="Form-8"/>
      <sheetName val="Form-9"/>
      <sheetName val="Form-10"/>
      <sheetName val="Form-11"/>
      <sheetName val="Form-12"/>
      <sheetName val="Form-13"/>
      <sheetName val="Sheet2"/>
      <sheetName val="Sheet3"/>
      <sheetName val="Segmen BI"/>
      <sheetName val="Segmen BSM"/>
      <sheetName val="Produk"/>
      <sheetName val="Sektor"/>
      <sheetName val="Penggunaan"/>
      <sheetName val="Sheet4"/>
      <sheetName val="Master Agst"/>
      <sheetName val="XXXXXX"/>
      <sheetName val="MENU"/>
      <sheetName val="JUDUL-KK"/>
      <sheetName val="KKPW-01"/>
      <sheetName val="KKPW-02"/>
      <sheetName val="KKPW-03"/>
      <sheetName val="KKPW-04"/>
      <sheetName val="KKPW-04 (2)"/>
      <sheetName val="kkpw-04(3)"/>
      <sheetName val="KKPW-05"/>
      <sheetName val="KKPW-06"/>
      <sheetName val="KKPW-07"/>
      <sheetName val="KKPW-08"/>
      <sheetName val="KKPW-09"/>
      <sheetName val="KKPW-10"/>
      <sheetName val="KKPW-11"/>
      <sheetName val="KKPW-12"/>
      <sheetName val="KKPW-13"/>
      <sheetName val="KKPW-14"/>
      <sheetName val="KKPW-15"/>
      <sheetName val="KKPW-16"/>
      <sheetName val="KKPW-17"/>
      <sheetName val="KKPW-18"/>
      <sheetName val="KKPW-19"/>
      <sheetName val="KKPW-20"/>
      <sheetName val="KKPW-20 (2)"/>
      <sheetName val="KKPW-21"/>
      <sheetName val="KKPW-21 (1)"/>
      <sheetName val="KKPW-21 (2)"/>
      <sheetName val="KKPW-21 (3)"/>
      <sheetName val="KKPW-22"/>
      <sheetName val="KKPW-22 (2)"/>
      <sheetName val="KKPW-23A"/>
      <sheetName val="KKPW-23 B"/>
      <sheetName val="KKPW-23 C"/>
      <sheetName val="KKPW-24"/>
      <sheetName val="KKPW-25"/>
      <sheetName val="KKPW-26"/>
      <sheetName val="KKPW-27"/>
      <sheetName val="KKPW-28"/>
      <sheetName val="KKPW-28 (2)"/>
      <sheetName val="KKPW-28 (3)"/>
      <sheetName val="KKPW-29"/>
      <sheetName val="KKPW-30"/>
      <sheetName val="KKPW-31"/>
      <sheetName val="KKPW-32"/>
      <sheetName val="KKPW-33A"/>
      <sheetName val="KKPW-33B"/>
      <sheetName val="KKPW-34"/>
      <sheetName val="KKPW-35"/>
      <sheetName val="KKPW-36"/>
      <sheetName val="KKPW-37"/>
      <sheetName val="KKPW-38"/>
      <sheetName val="KKPW-39"/>
      <sheetName val="KKPW-39A"/>
      <sheetName val="Annual repor_x0000_"/>
      <sheetName val="2 form ms dana pinjaman"/>
      <sheetName val="Annual repor_x005f_x0000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 refreshError="1"/>
      <sheetData sheetId="9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Menu"/>
      <sheetName val="Mnu_Asm+Mcr"/>
      <sheetName val="Input_Asm"/>
      <sheetName val="Mnu_Asm+Mcr_Sy"/>
      <sheetName val="Input_Asm_Syar"/>
      <sheetName val="Info"/>
      <sheetName val="Chart1"/>
      <sheetName val="Chart2"/>
      <sheetName val="Chart3"/>
      <sheetName val="Chart4"/>
      <sheetName val="Message"/>
      <sheetName val="Capital"/>
      <sheetName val="Assumption"/>
      <sheetName val="Ex Summary"/>
      <sheetName val="BES"/>
      <sheetName val="HL"/>
      <sheetName val="Ratios"/>
      <sheetName val="BI_Ratios"/>
      <sheetName val="Rating"/>
      <sheetName val="BS"/>
      <sheetName val="ASBS"/>
      <sheetName val="IS"/>
      <sheetName val="ASIS"/>
      <sheetName val="OFF"/>
      <sheetName val="ASOFF"/>
      <sheetName val="BS $"/>
      <sheetName val="OFF $"/>
      <sheetName val="Syariah"/>
      <sheetName val="AS_Syar"/>
      <sheetName val="Int Inc"/>
      <sheetName val="Int Exp"/>
      <sheetName val="BLR"/>
      <sheetName val="NPL"/>
      <sheetName val="CAR"/>
      <sheetName val="NOP"/>
      <sheetName val="OHC"/>
      <sheetName val="Loans"/>
      <sheetName val="Deposits"/>
      <sheetName val="G Bonds"/>
      <sheetName val="Securities"/>
      <sheetName val="INV"/>
      <sheetName val="FA"/>
      <sheetName val="BSM"/>
      <sheetName val="ISM"/>
      <sheetName val="OFFM"/>
      <sheetName val="HLM"/>
      <sheetName val="RTOM"/>
      <sheetName val="OHCM"/>
      <sheetName val="LoansM"/>
      <sheetName val="DepositsM"/>
      <sheetName val="HS"/>
      <sheetName val="HS_Sy"/>
      <sheetName val="Act_Rat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I17" sqref="I17"/>
    </sheetView>
  </sheetViews>
  <sheetFormatPr defaultRowHeight="12.75" x14ac:dyDescent="0.2"/>
  <cols>
    <col min="1" max="1" width="3.85546875" customWidth="1"/>
    <col min="2" max="2" width="24.28515625" customWidth="1"/>
  </cols>
  <sheetData>
    <row r="1" spans="1:3" x14ac:dyDescent="0.2">
      <c r="A1" t="s">
        <v>6</v>
      </c>
    </row>
    <row r="2" spans="1:3" x14ac:dyDescent="0.2">
      <c r="A2">
        <v>1</v>
      </c>
      <c r="B2" t="s">
        <v>0</v>
      </c>
    </row>
    <row r="3" spans="1:3" x14ac:dyDescent="0.2">
      <c r="A3">
        <v>2</v>
      </c>
      <c r="B3" t="s">
        <v>3</v>
      </c>
      <c r="C3" t="s">
        <v>8</v>
      </c>
    </row>
    <row r="4" spans="1:3" x14ac:dyDescent="0.2">
      <c r="A4">
        <v>3</v>
      </c>
      <c r="B4" t="s">
        <v>4</v>
      </c>
      <c r="C4" t="s">
        <v>8</v>
      </c>
    </row>
    <row r="6" spans="1:3" x14ac:dyDescent="0.2">
      <c r="A6" t="s">
        <v>7</v>
      </c>
    </row>
    <row r="7" spans="1:3" x14ac:dyDescent="0.2">
      <c r="A7">
        <v>1</v>
      </c>
      <c r="B7" t="s">
        <v>5</v>
      </c>
      <c r="C7">
        <v>50</v>
      </c>
    </row>
    <row r="8" spans="1:3" x14ac:dyDescent="0.2">
      <c r="A8">
        <v>2</v>
      </c>
      <c r="B8" t="s">
        <v>1</v>
      </c>
      <c r="C8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AB106"/>
  <sheetViews>
    <sheetView showGridLines="0" tabSelected="1" topLeftCell="D4" workbookViewId="0">
      <selection activeCell="I27" sqref="I27"/>
    </sheetView>
  </sheetViews>
  <sheetFormatPr defaultRowHeight="15" x14ac:dyDescent="0.25"/>
  <cols>
    <col min="1" max="3" width="4.7109375" style="4" customWidth="1"/>
    <col min="4" max="9" width="9.140625" style="4"/>
    <col min="10" max="10" width="4.7109375" style="4" customWidth="1"/>
    <col min="11" max="11" width="9.140625" style="4"/>
    <col min="12" max="12" width="4.7109375" style="4" customWidth="1"/>
    <col min="13" max="18" width="9.140625" style="4"/>
    <col min="19" max="21" width="4.7109375" style="4" customWidth="1"/>
    <col min="22" max="16384" width="9.140625" style="4"/>
  </cols>
  <sheetData>
    <row r="2" spans="2:28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  <row r="3" spans="2:28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2:2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2:28" ht="26.25" x14ac:dyDescent="0.4">
      <c r="B5" s="5"/>
      <c r="C5" s="8" t="s">
        <v>9</v>
      </c>
      <c r="D5" s="8"/>
      <c r="E5" s="8"/>
      <c r="F5" s="8"/>
      <c r="G5" s="8"/>
      <c r="H5" s="8"/>
      <c r="I5" s="8"/>
      <c r="J5" s="8"/>
      <c r="K5" s="6"/>
      <c r="L5" s="8" t="s">
        <v>10</v>
      </c>
      <c r="M5" s="8"/>
      <c r="N5" s="8"/>
      <c r="O5" s="8"/>
      <c r="P5" s="8"/>
      <c r="Q5" s="8"/>
      <c r="R5" s="8"/>
      <c r="S5" s="8"/>
      <c r="T5" s="7"/>
    </row>
    <row r="6" spans="2:28" ht="26.25" x14ac:dyDescent="0.4">
      <c r="B6" s="5"/>
      <c r="C6" s="6"/>
      <c r="D6" s="9"/>
      <c r="E6" s="9"/>
      <c r="F6" s="9"/>
      <c r="G6" s="9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7"/>
    </row>
    <row r="7" spans="2:28" x14ac:dyDescent="0.25">
      <c r="B7" s="5"/>
      <c r="C7" s="10"/>
      <c r="D7" s="11"/>
      <c r="E7" s="11"/>
      <c r="F7" s="11"/>
      <c r="G7" s="11"/>
      <c r="H7" s="11"/>
      <c r="I7" s="11"/>
      <c r="J7" s="12"/>
      <c r="K7" s="6"/>
      <c r="L7" s="10"/>
      <c r="M7" s="11"/>
      <c r="N7" s="11"/>
      <c r="O7" s="11"/>
      <c r="P7" s="11"/>
      <c r="Q7" s="11"/>
      <c r="R7" s="11"/>
      <c r="S7" s="12"/>
      <c r="T7" s="13"/>
      <c r="U7" s="14"/>
      <c r="V7" s="15" t="s">
        <v>11</v>
      </c>
      <c r="W7" s="15"/>
      <c r="X7" s="15"/>
      <c r="Y7" s="15"/>
      <c r="Z7" s="15"/>
      <c r="AA7" s="15"/>
      <c r="AB7" s="15"/>
    </row>
    <row r="8" spans="2:28" x14ac:dyDescent="0.25">
      <c r="B8" s="16"/>
      <c r="C8" s="17"/>
      <c r="D8" s="18" t="s">
        <v>12</v>
      </c>
      <c r="E8" s="18"/>
      <c r="F8" s="18"/>
      <c r="G8" s="19">
        <v>0.03</v>
      </c>
      <c r="H8" s="20"/>
      <c r="I8" s="21"/>
      <c r="J8" s="22"/>
      <c r="K8" s="6"/>
      <c r="L8" s="17"/>
      <c r="M8" s="18" t="s">
        <v>13</v>
      </c>
      <c r="N8" s="18"/>
      <c r="O8" s="18"/>
      <c r="P8" s="23">
        <v>35</v>
      </c>
      <c r="Q8" s="24"/>
      <c r="R8" s="25"/>
      <c r="S8" s="22"/>
      <c r="T8" s="13"/>
      <c r="U8" s="14"/>
      <c r="V8" s="26">
        <v>1</v>
      </c>
      <c r="W8" s="15"/>
      <c r="X8" s="15" t="s">
        <v>14</v>
      </c>
      <c r="Y8" s="15"/>
      <c r="Z8" s="15"/>
      <c r="AA8" s="15"/>
      <c r="AB8" s="15"/>
    </row>
    <row r="9" spans="2:28" ht="15.75" thickBot="1" x14ac:dyDescent="0.3">
      <c r="B9" s="16"/>
      <c r="C9" s="17"/>
      <c r="D9" s="27" t="s">
        <v>15</v>
      </c>
      <c r="E9" s="27"/>
      <c r="F9" s="27"/>
      <c r="G9" s="28">
        <v>46</v>
      </c>
      <c r="H9" s="29"/>
      <c r="I9" s="30"/>
      <c r="J9" s="22"/>
      <c r="K9" s="6"/>
      <c r="L9" s="17"/>
      <c r="M9" s="27" t="s">
        <v>16</v>
      </c>
      <c r="N9" s="27"/>
      <c r="O9" s="27"/>
      <c r="P9" s="28">
        <v>5000</v>
      </c>
      <c r="Q9" s="29"/>
      <c r="R9" s="30"/>
      <c r="S9" s="22"/>
      <c r="T9" s="13"/>
      <c r="U9" s="14"/>
      <c r="V9" s="26">
        <v>2</v>
      </c>
      <c r="W9" s="15"/>
      <c r="X9" s="15" t="s">
        <v>17</v>
      </c>
      <c r="Y9" s="15"/>
      <c r="Z9" s="15"/>
      <c r="AA9" s="15"/>
      <c r="AB9" s="15"/>
    </row>
    <row r="10" spans="2:28" x14ac:dyDescent="0.25">
      <c r="B10" s="16"/>
      <c r="C10" s="17"/>
      <c r="D10" s="31"/>
      <c r="E10" s="31"/>
      <c r="F10" s="31"/>
      <c r="G10" s="31"/>
      <c r="H10" s="31"/>
      <c r="I10" s="31"/>
      <c r="J10" s="22"/>
      <c r="K10" s="6"/>
      <c r="L10" s="17"/>
      <c r="M10" s="31"/>
      <c r="N10" s="31"/>
      <c r="O10" s="31"/>
      <c r="P10" s="31"/>
      <c r="Q10" s="31"/>
      <c r="R10" s="31"/>
      <c r="S10" s="22"/>
      <c r="T10" s="13"/>
      <c r="U10" s="14"/>
      <c r="V10" s="26">
        <v>3</v>
      </c>
      <c r="W10" s="15"/>
      <c r="X10" s="15"/>
      <c r="Y10" s="15"/>
      <c r="Z10" s="15"/>
      <c r="AA10" s="15"/>
      <c r="AB10" s="15"/>
    </row>
    <row r="11" spans="2:28" ht="15.75" thickBot="1" x14ac:dyDescent="0.3">
      <c r="B11" s="16"/>
      <c r="C11" s="17"/>
      <c r="D11" s="32" t="s">
        <v>18</v>
      </c>
      <c r="E11" s="32"/>
      <c r="F11" s="32"/>
      <c r="G11" s="33" t="s">
        <v>17</v>
      </c>
      <c r="H11" s="33"/>
      <c r="I11" s="34"/>
      <c r="J11" s="22"/>
      <c r="K11" s="6"/>
      <c r="L11" s="17"/>
      <c r="M11" s="32" t="s">
        <v>19</v>
      </c>
      <c r="N11" s="32"/>
      <c r="O11" s="32"/>
      <c r="P11" s="33">
        <v>55</v>
      </c>
      <c r="Q11" s="33"/>
      <c r="R11" s="34"/>
      <c r="S11" s="22"/>
      <c r="T11" s="13"/>
      <c r="U11" s="14"/>
      <c r="V11" s="26">
        <v>4</v>
      </c>
      <c r="W11" s="15"/>
      <c r="X11" s="15"/>
      <c r="Y11" s="15"/>
      <c r="Z11" s="15"/>
      <c r="AA11" s="15"/>
      <c r="AB11" s="15"/>
    </row>
    <row r="12" spans="2:28" x14ac:dyDescent="0.25">
      <c r="B12" s="16"/>
      <c r="C12" s="17"/>
      <c r="D12" s="31"/>
      <c r="E12" s="31"/>
      <c r="F12" s="31"/>
      <c r="G12" s="31"/>
      <c r="H12" s="31"/>
      <c r="I12" s="31"/>
      <c r="J12" s="22"/>
      <c r="K12" s="6"/>
      <c r="L12" s="17"/>
      <c r="M12" s="31"/>
      <c r="N12" s="31"/>
      <c r="O12" s="31"/>
      <c r="P12" s="31"/>
      <c r="Q12" s="31"/>
      <c r="R12" s="31"/>
      <c r="S12" s="22"/>
      <c r="T12" s="13"/>
      <c r="U12" s="14"/>
      <c r="V12" s="26">
        <v>5</v>
      </c>
      <c r="W12" s="15"/>
      <c r="X12" s="15"/>
      <c r="Y12" s="15"/>
      <c r="Z12" s="15"/>
      <c r="AA12" s="15"/>
      <c r="AB12" s="15"/>
    </row>
    <row r="13" spans="2:28" ht="15.75" thickBot="1" x14ac:dyDescent="0.3">
      <c r="B13" s="16"/>
      <c r="C13" s="17"/>
      <c r="D13" s="32" t="str">
        <f>IF($G$11=$X$8,"Benefit","Annual payments")</f>
        <v>Annual payments</v>
      </c>
      <c r="E13" s="32"/>
      <c r="F13" s="32"/>
      <c r="G13" s="33">
        <v>50000</v>
      </c>
      <c r="H13" s="33"/>
      <c r="I13" s="34"/>
      <c r="J13" s="22"/>
      <c r="K13" s="6"/>
      <c r="L13" s="17"/>
      <c r="M13" s="32" t="s">
        <v>12</v>
      </c>
      <c r="N13" s="32"/>
      <c r="O13" s="32"/>
      <c r="P13" s="33">
        <v>0.03</v>
      </c>
      <c r="Q13" s="33"/>
      <c r="R13" s="34"/>
      <c r="S13" s="22"/>
      <c r="T13" s="13"/>
      <c r="U13" s="14"/>
      <c r="V13" s="26">
        <v>6</v>
      </c>
      <c r="W13" s="15"/>
      <c r="X13" s="15"/>
      <c r="Y13" s="15"/>
      <c r="Z13" s="15"/>
      <c r="AA13" s="15"/>
      <c r="AB13" s="15"/>
    </row>
    <row r="14" spans="2:28" ht="15.75" thickBot="1" x14ac:dyDescent="0.3">
      <c r="B14" s="16"/>
      <c r="C14" s="35"/>
      <c r="D14" s="36"/>
      <c r="E14" s="36"/>
      <c r="F14" s="36"/>
      <c r="G14" s="36"/>
      <c r="H14" s="36"/>
      <c r="I14" s="36"/>
      <c r="J14" s="37"/>
      <c r="K14" s="6"/>
      <c r="L14" s="35"/>
      <c r="M14" s="36"/>
      <c r="N14" s="36"/>
      <c r="O14" s="36"/>
      <c r="P14" s="36"/>
      <c r="Q14" s="36"/>
      <c r="R14" s="36"/>
      <c r="S14" s="37"/>
      <c r="T14" s="13"/>
      <c r="U14" s="14"/>
      <c r="V14" s="26">
        <v>7</v>
      </c>
      <c r="W14" s="15"/>
      <c r="X14" s="15"/>
      <c r="Y14" s="15"/>
      <c r="Z14" s="15"/>
      <c r="AA14" s="15"/>
      <c r="AB14" s="15"/>
    </row>
    <row r="15" spans="2:28" ht="15.75" thickTop="1" x14ac:dyDescent="0.25">
      <c r="B15" s="16"/>
      <c r="C15" s="38"/>
      <c r="D15" s="38"/>
      <c r="E15" s="6"/>
      <c r="F15" s="6"/>
      <c r="G15" s="6"/>
      <c r="H15" s="6"/>
      <c r="I15" s="39"/>
      <c r="J15" s="39"/>
      <c r="K15" s="6"/>
      <c r="L15" s="38"/>
      <c r="M15" s="38"/>
      <c r="N15" s="6"/>
      <c r="O15" s="6"/>
      <c r="P15" s="6"/>
      <c r="Q15" s="6"/>
      <c r="R15" s="39"/>
      <c r="S15" s="39"/>
      <c r="T15" s="13"/>
      <c r="U15" s="40"/>
      <c r="V15" s="26">
        <v>8</v>
      </c>
      <c r="W15" s="15"/>
      <c r="X15" s="15"/>
      <c r="Y15" s="15"/>
      <c r="Z15" s="15"/>
      <c r="AA15" s="15"/>
      <c r="AB15" s="15"/>
    </row>
    <row r="16" spans="2:28" x14ac:dyDescent="0.25">
      <c r="B16" s="16"/>
      <c r="C16" s="10"/>
      <c r="D16" s="11"/>
      <c r="E16" s="11"/>
      <c r="F16" s="11"/>
      <c r="G16" s="11"/>
      <c r="H16" s="11"/>
      <c r="I16" s="11"/>
      <c r="J16" s="12"/>
      <c r="K16" s="6"/>
      <c r="L16" s="10"/>
      <c r="M16" s="11"/>
      <c r="N16" s="11"/>
      <c r="O16" s="11"/>
      <c r="P16" s="11"/>
      <c r="Q16" s="11"/>
      <c r="R16" s="11"/>
      <c r="S16" s="12"/>
      <c r="T16" s="13"/>
      <c r="U16" s="14"/>
      <c r="V16" s="26">
        <v>9</v>
      </c>
      <c r="W16" s="15"/>
      <c r="X16" s="15"/>
      <c r="Y16" s="15"/>
      <c r="Z16" s="15"/>
      <c r="AA16" s="15"/>
      <c r="AB16" s="15"/>
    </row>
    <row r="17" spans="2:28" ht="15.75" thickBot="1" x14ac:dyDescent="0.3">
      <c r="B17" s="5"/>
      <c r="C17" s="17"/>
      <c r="D17" s="32" t="s">
        <v>9</v>
      </c>
      <c r="E17" s="32"/>
      <c r="F17" s="32"/>
      <c r="G17" s="41">
        <f>IF($D$13="Benefit",$G$13*VLOOKUP(G9,Data!A4:G103,7,FALSE)/VLOOKUP(G9,Data!A4:G103,4,FALSE),VLOOKUP(G9,Data!A4:G103,5,FALSE)/VLOOKUP(G9,Data!A4:G103,4,FALSE))</f>
        <v>18.20262827909913</v>
      </c>
      <c r="H17" s="41"/>
      <c r="I17" s="42"/>
      <c r="J17" s="22"/>
      <c r="K17" s="6"/>
      <c r="L17" s="17"/>
      <c r="M17" s="32" t="s">
        <v>10</v>
      </c>
      <c r="N17" s="32"/>
      <c r="O17" s="32"/>
      <c r="P17" s="41">
        <f>P9*VLOOKUP($P$8,Data!A18:G117,4,FALSE)/VLOOKUP($P$11,Data!A18:G117,5,FALSE)</f>
        <v>693.0906275462296</v>
      </c>
      <c r="Q17" s="41"/>
      <c r="R17" s="42"/>
      <c r="S17" s="22"/>
      <c r="T17" s="13"/>
      <c r="U17" s="14"/>
      <c r="V17" s="26">
        <v>10</v>
      </c>
      <c r="W17" s="15"/>
      <c r="X17" s="15"/>
      <c r="Y17" s="15"/>
      <c r="Z17" s="15"/>
      <c r="AA17" s="15"/>
      <c r="AB17" s="15"/>
    </row>
    <row r="18" spans="2:28" ht="15.75" thickBot="1" x14ac:dyDescent="0.3">
      <c r="B18" s="5"/>
      <c r="C18" s="35"/>
      <c r="D18" s="36"/>
      <c r="E18" s="36"/>
      <c r="F18" s="36"/>
      <c r="G18" s="36"/>
      <c r="H18" s="36"/>
      <c r="I18" s="36"/>
      <c r="J18" s="37"/>
      <c r="K18" s="6"/>
      <c r="L18" s="35"/>
      <c r="M18" s="36"/>
      <c r="N18" s="36"/>
      <c r="O18" s="36"/>
      <c r="P18" s="36"/>
      <c r="Q18" s="36"/>
      <c r="R18" s="36"/>
      <c r="S18" s="37"/>
      <c r="T18" s="13"/>
      <c r="U18" s="14"/>
      <c r="V18" s="26">
        <v>11</v>
      </c>
      <c r="W18" s="15"/>
      <c r="X18" s="15"/>
      <c r="Y18" s="15"/>
      <c r="Z18" s="15"/>
      <c r="AA18" s="15"/>
      <c r="AB18" s="15"/>
    </row>
    <row r="19" spans="2:28" ht="15.75" thickTop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13"/>
      <c r="U19" s="40"/>
      <c r="V19" s="26">
        <v>12</v>
      </c>
      <c r="W19" s="15"/>
      <c r="X19" s="15"/>
      <c r="Y19" s="15"/>
      <c r="Z19" s="15"/>
      <c r="AA19" s="15"/>
      <c r="AB19" s="15"/>
    </row>
    <row r="20" spans="2:28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7"/>
      <c r="V20" s="26">
        <v>13</v>
      </c>
      <c r="W20" s="15"/>
      <c r="X20" s="15"/>
      <c r="Y20" s="15"/>
      <c r="Z20" s="15"/>
      <c r="AA20" s="15"/>
      <c r="AB20" s="15"/>
    </row>
    <row r="21" spans="2:28" x14ac:dyDescent="0.25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7"/>
      <c r="V21" s="26">
        <v>14</v>
      </c>
      <c r="W21" s="15"/>
      <c r="X21" s="15"/>
      <c r="Y21" s="15"/>
      <c r="Z21" s="15"/>
      <c r="AA21" s="15"/>
      <c r="AB21" s="15"/>
    </row>
    <row r="22" spans="2:28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7"/>
      <c r="V22" s="26">
        <v>15</v>
      </c>
      <c r="W22" s="15"/>
      <c r="X22" s="15"/>
      <c r="Y22" s="15"/>
      <c r="Z22" s="15"/>
      <c r="AA22" s="15"/>
      <c r="AB22" s="15"/>
    </row>
    <row r="23" spans="2:28" ht="15.75" thickBot="1" x14ac:dyDescent="0.3">
      <c r="B23" s="43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5"/>
      <c r="V23" s="26">
        <v>16</v>
      </c>
      <c r="W23" s="15"/>
      <c r="X23" s="15"/>
      <c r="Y23" s="15"/>
      <c r="Z23" s="15"/>
      <c r="AA23" s="15"/>
      <c r="AB23" s="15"/>
    </row>
    <row r="24" spans="2:28" ht="15.75" thickTop="1" x14ac:dyDescent="0.25">
      <c r="V24" s="26">
        <v>17</v>
      </c>
      <c r="W24" s="15"/>
      <c r="X24" s="15"/>
      <c r="Y24" s="15"/>
      <c r="Z24" s="15"/>
      <c r="AA24" s="15"/>
      <c r="AB24" s="15"/>
    </row>
    <row r="25" spans="2:28" x14ac:dyDescent="0.25">
      <c r="V25" s="26">
        <v>18</v>
      </c>
      <c r="W25" s="15"/>
      <c r="X25" s="15"/>
      <c r="Y25" s="15"/>
      <c r="Z25" s="15"/>
      <c r="AA25" s="15"/>
      <c r="AB25" s="15"/>
    </row>
    <row r="26" spans="2:28" x14ac:dyDescent="0.25">
      <c r="V26" s="26">
        <v>19</v>
      </c>
      <c r="W26" s="15"/>
      <c r="X26" s="15"/>
      <c r="Y26" s="15"/>
      <c r="Z26" s="15"/>
      <c r="AA26" s="15"/>
      <c r="AB26" s="15"/>
    </row>
    <row r="27" spans="2:28" x14ac:dyDescent="0.25">
      <c r="V27" s="26">
        <v>20</v>
      </c>
      <c r="W27" s="15"/>
      <c r="X27" s="15"/>
      <c r="Y27" s="15"/>
      <c r="Z27" s="15"/>
      <c r="AA27" s="15"/>
      <c r="AB27" s="15"/>
    </row>
    <row r="28" spans="2:28" x14ac:dyDescent="0.25">
      <c r="V28" s="26">
        <v>21</v>
      </c>
      <c r="W28" s="15"/>
      <c r="X28" s="15"/>
      <c r="Y28" s="15"/>
      <c r="Z28" s="15"/>
      <c r="AA28" s="15"/>
      <c r="AB28" s="15"/>
    </row>
    <row r="29" spans="2:28" x14ac:dyDescent="0.25">
      <c r="V29" s="26">
        <v>22</v>
      </c>
      <c r="W29" s="15"/>
      <c r="X29" s="15"/>
      <c r="Y29" s="15"/>
      <c r="Z29" s="15"/>
      <c r="AA29" s="15"/>
      <c r="AB29" s="15"/>
    </row>
    <row r="30" spans="2:28" x14ac:dyDescent="0.25">
      <c r="R30" s="40"/>
      <c r="V30" s="26">
        <v>23</v>
      </c>
      <c r="W30" s="15"/>
      <c r="X30" s="15"/>
      <c r="Y30" s="15"/>
      <c r="Z30" s="15"/>
      <c r="AA30" s="15"/>
      <c r="AB30" s="15"/>
    </row>
    <row r="31" spans="2:28" x14ac:dyDescent="0.25">
      <c r="V31" s="26">
        <v>24</v>
      </c>
      <c r="W31" s="15"/>
      <c r="X31" s="15"/>
      <c r="Y31" s="15"/>
      <c r="Z31" s="15"/>
      <c r="AA31" s="15"/>
      <c r="AB31" s="15"/>
    </row>
    <row r="32" spans="2:28" x14ac:dyDescent="0.25">
      <c r="V32" s="26">
        <v>25</v>
      </c>
      <c r="W32" s="15"/>
      <c r="X32" s="15"/>
      <c r="Y32" s="15"/>
      <c r="Z32" s="15"/>
      <c r="AA32" s="15"/>
      <c r="AB32" s="15"/>
    </row>
    <row r="33" spans="22:28" x14ac:dyDescent="0.25">
      <c r="V33" s="26">
        <v>26</v>
      </c>
      <c r="W33" s="15"/>
      <c r="X33" s="15"/>
      <c r="Y33" s="15"/>
      <c r="Z33" s="15"/>
      <c r="AA33" s="15"/>
      <c r="AB33" s="15"/>
    </row>
    <row r="34" spans="22:28" x14ac:dyDescent="0.25">
      <c r="V34" s="26">
        <v>27</v>
      </c>
      <c r="W34" s="15"/>
      <c r="X34" s="15"/>
      <c r="Y34" s="15"/>
      <c r="Z34" s="15"/>
      <c r="AA34" s="15"/>
      <c r="AB34" s="15"/>
    </row>
    <row r="35" spans="22:28" x14ac:dyDescent="0.25">
      <c r="V35" s="26">
        <v>28</v>
      </c>
      <c r="W35" s="15"/>
      <c r="X35" s="15"/>
      <c r="Y35" s="15"/>
      <c r="Z35" s="15"/>
      <c r="AA35" s="15"/>
      <c r="AB35" s="15"/>
    </row>
    <row r="36" spans="22:28" x14ac:dyDescent="0.25">
      <c r="V36" s="26">
        <v>29</v>
      </c>
      <c r="W36" s="15"/>
      <c r="X36" s="15"/>
      <c r="Y36" s="15"/>
      <c r="Z36" s="15"/>
      <c r="AA36" s="15"/>
      <c r="AB36" s="15"/>
    </row>
    <row r="37" spans="22:28" x14ac:dyDescent="0.25">
      <c r="V37" s="26">
        <v>30</v>
      </c>
      <c r="W37" s="15"/>
      <c r="X37" s="15"/>
      <c r="Y37" s="15"/>
      <c r="Z37" s="15"/>
      <c r="AA37" s="15"/>
      <c r="AB37" s="15"/>
    </row>
    <row r="38" spans="22:28" x14ac:dyDescent="0.25">
      <c r="V38" s="26">
        <v>31</v>
      </c>
      <c r="W38" s="15"/>
      <c r="X38" s="15"/>
      <c r="Y38" s="15"/>
      <c r="Z38" s="15"/>
      <c r="AA38" s="15"/>
      <c r="AB38" s="15"/>
    </row>
    <row r="39" spans="22:28" x14ac:dyDescent="0.25">
      <c r="V39" s="26">
        <v>32</v>
      </c>
      <c r="W39" s="15"/>
      <c r="X39" s="15"/>
      <c r="Y39" s="15"/>
      <c r="Z39" s="15"/>
      <c r="AA39" s="15"/>
      <c r="AB39" s="15"/>
    </row>
    <row r="40" spans="22:28" x14ac:dyDescent="0.25">
      <c r="V40" s="26">
        <v>33</v>
      </c>
      <c r="W40" s="15"/>
      <c r="X40" s="15"/>
      <c r="Y40" s="15"/>
      <c r="Z40" s="15"/>
      <c r="AA40" s="15"/>
      <c r="AB40" s="15"/>
    </row>
    <row r="41" spans="22:28" x14ac:dyDescent="0.25">
      <c r="V41" s="26">
        <v>34</v>
      </c>
      <c r="W41" s="15"/>
      <c r="X41" s="15"/>
      <c r="Y41" s="15"/>
      <c r="Z41" s="15"/>
      <c r="AA41" s="15"/>
      <c r="AB41" s="15"/>
    </row>
    <row r="42" spans="22:28" x14ac:dyDescent="0.25">
      <c r="V42" s="26">
        <v>35</v>
      </c>
      <c r="W42" s="15"/>
      <c r="X42" s="15"/>
      <c r="Y42" s="15"/>
      <c r="Z42" s="15"/>
      <c r="AA42" s="15"/>
      <c r="AB42" s="15"/>
    </row>
    <row r="43" spans="22:28" x14ac:dyDescent="0.25">
      <c r="V43" s="26">
        <v>36</v>
      </c>
      <c r="W43" s="15"/>
      <c r="X43" s="15"/>
      <c r="Y43" s="15"/>
      <c r="Z43" s="15"/>
      <c r="AA43" s="15"/>
      <c r="AB43" s="15"/>
    </row>
    <row r="44" spans="22:28" x14ac:dyDescent="0.25">
      <c r="V44" s="26">
        <v>37</v>
      </c>
      <c r="W44" s="15"/>
      <c r="X44" s="15"/>
      <c r="Y44" s="15"/>
      <c r="Z44" s="15"/>
      <c r="AA44" s="15"/>
      <c r="AB44" s="15"/>
    </row>
    <row r="45" spans="22:28" x14ac:dyDescent="0.25">
      <c r="V45" s="26">
        <v>38</v>
      </c>
      <c r="W45" s="15"/>
      <c r="X45" s="15"/>
      <c r="Y45" s="15"/>
      <c r="Z45" s="15"/>
      <c r="AA45" s="15"/>
      <c r="AB45" s="15"/>
    </row>
    <row r="46" spans="22:28" x14ac:dyDescent="0.25">
      <c r="V46" s="26">
        <v>39</v>
      </c>
      <c r="W46" s="15"/>
      <c r="X46" s="15"/>
      <c r="Y46" s="15"/>
      <c r="Z46" s="15"/>
      <c r="AA46" s="15"/>
      <c r="AB46" s="15"/>
    </row>
    <row r="47" spans="22:28" x14ac:dyDescent="0.25">
      <c r="V47" s="26">
        <v>40</v>
      </c>
      <c r="W47" s="15"/>
      <c r="X47" s="15"/>
      <c r="Y47" s="15"/>
      <c r="Z47" s="15"/>
      <c r="AA47" s="15"/>
      <c r="AB47" s="15"/>
    </row>
    <row r="48" spans="22:28" x14ac:dyDescent="0.25">
      <c r="V48" s="26">
        <v>41</v>
      </c>
      <c r="W48" s="15"/>
      <c r="X48" s="15"/>
      <c r="Y48" s="15"/>
      <c r="Z48" s="15"/>
      <c r="AA48" s="15"/>
      <c r="AB48" s="15"/>
    </row>
    <row r="49" spans="22:28" x14ac:dyDescent="0.25">
      <c r="V49" s="26">
        <v>42</v>
      </c>
      <c r="W49" s="15"/>
      <c r="X49" s="15"/>
      <c r="Y49" s="15"/>
      <c r="Z49" s="15"/>
      <c r="AA49" s="15"/>
      <c r="AB49" s="15"/>
    </row>
    <row r="50" spans="22:28" x14ac:dyDescent="0.25">
      <c r="V50" s="26">
        <v>43</v>
      </c>
      <c r="W50" s="15"/>
      <c r="X50" s="15"/>
      <c r="Y50" s="15"/>
      <c r="Z50" s="15"/>
      <c r="AA50" s="15"/>
      <c r="AB50" s="15"/>
    </row>
    <row r="51" spans="22:28" x14ac:dyDescent="0.25">
      <c r="V51" s="26">
        <v>44</v>
      </c>
      <c r="W51" s="15"/>
      <c r="X51" s="15"/>
      <c r="Y51" s="15"/>
      <c r="Z51" s="15"/>
      <c r="AA51" s="15"/>
      <c r="AB51" s="15"/>
    </row>
    <row r="52" spans="22:28" x14ac:dyDescent="0.25">
      <c r="V52" s="26">
        <v>45</v>
      </c>
      <c r="W52" s="15"/>
      <c r="X52" s="15"/>
      <c r="Y52" s="15"/>
      <c r="Z52" s="15"/>
      <c r="AA52" s="15"/>
      <c r="AB52" s="15"/>
    </row>
    <row r="53" spans="22:28" x14ac:dyDescent="0.25">
      <c r="V53" s="26">
        <v>46</v>
      </c>
      <c r="W53" s="15"/>
      <c r="X53" s="15"/>
      <c r="Y53" s="15"/>
      <c r="Z53" s="15"/>
      <c r="AA53" s="15"/>
      <c r="AB53" s="15"/>
    </row>
    <row r="54" spans="22:28" x14ac:dyDescent="0.25">
      <c r="V54" s="26">
        <v>47</v>
      </c>
      <c r="W54" s="15"/>
      <c r="X54" s="15"/>
      <c r="Y54" s="15"/>
      <c r="Z54" s="15"/>
      <c r="AA54" s="15"/>
      <c r="AB54" s="15"/>
    </row>
    <row r="55" spans="22:28" x14ac:dyDescent="0.25">
      <c r="V55" s="26">
        <v>48</v>
      </c>
      <c r="W55" s="15"/>
      <c r="X55" s="15"/>
      <c r="Y55" s="15"/>
      <c r="Z55" s="15"/>
      <c r="AA55" s="15"/>
      <c r="AB55" s="15"/>
    </row>
    <row r="56" spans="22:28" x14ac:dyDescent="0.25">
      <c r="V56" s="26">
        <v>49</v>
      </c>
      <c r="W56" s="15"/>
      <c r="X56" s="15"/>
      <c r="Y56" s="15"/>
      <c r="Z56" s="15"/>
      <c r="AA56" s="15"/>
      <c r="AB56" s="15"/>
    </row>
    <row r="57" spans="22:28" x14ac:dyDescent="0.25">
      <c r="V57" s="26">
        <v>50</v>
      </c>
      <c r="W57" s="15"/>
      <c r="X57" s="15"/>
      <c r="Y57" s="15"/>
      <c r="Z57" s="15"/>
      <c r="AA57" s="15"/>
      <c r="AB57" s="15"/>
    </row>
    <row r="58" spans="22:28" x14ac:dyDescent="0.25">
      <c r="V58" s="26">
        <v>51</v>
      </c>
      <c r="W58" s="15"/>
      <c r="X58" s="15"/>
      <c r="Y58" s="15"/>
      <c r="Z58" s="15"/>
      <c r="AA58" s="15"/>
      <c r="AB58" s="15"/>
    </row>
    <row r="59" spans="22:28" x14ac:dyDescent="0.25">
      <c r="V59" s="26">
        <v>52</v>
      </c>
      <c r="W59" s="15"/>
      <c r="X59" s="15"/>
      <c r="Y59" s="15"/>
      <c r="Z59" s="15"/>
      <c r="AA59" s="15"/>
      <c r="AB59" s="15"/>
    </row>
    <row r="60" spans="22:28" x14ac:dyDescent="0.25">
      <c r="V60" s="26">
        <v>53</v>
      </c>
      <c r="W60" s="15"/>
      <c r="X60" s="15"/>
      <c r="Y60" s="15"/>
      <c r="Z60" s="15"/>
      <c r="AA60" s="15"/>
      <c r="AB60" s="15"/>
    </row>
    <row r="61" spans="22:28" x14ac:dyDescent="0.25">
      <c r="V61" s="26">
        <v>54</v>
      </c>
      <c r="W61" s="15"/>
      <c r="X61" s="15"/>
      <c r="Y61" s="15"/>
      <c r="Z61" s="15"/>
      <c r="AA61" s="15"/>
      <c r="AB61" s="15"/>
    </row>
    <row r="62" spans="22:28" x14ac:dyDescent="0.25">
      <c r="V62" s="26">
        <v>55</v>
      </c>
      <c r="W62" s="15"/>
      <c r="X62" s="15"/>
      <c r="Y62" s="15"/>
      <c r="Z62" s="15"/>
      <c r="AA62" s="15"/>
      <c r="AB62" s="15"/>
    </row>
    <row r="63" spans="22:28" x14ac:dyDescent="0.25">
      <c r="V63" s="26">
        <v>56</v>
      </c>
      <c r="W63" s="15"/>
      <c r="X63" s="15"/>
      <c r="Y63" s="15"/>
      <c r="Z63" s="15"/>
      <c r="AA63" s="15"/>
      <c r="AB63" s="15"/>
    </row>
    <row r="64" spans="22:28" x14ac:dyDescent="0.25">
      <c r="V64" s="26">
        <v>57</v>
      </c>
      <c r="W64" s="15"/>
      <c r="X64" s="15"/>
      <c r="Y64" s="15"/>
      <c r="Z64" s="15"/>
      <c r="AA64" s="15"/>
      <c r="AB64" s="15"/>
    </row>
    <row r="65" spans="22:28" x14ac:dyDescent="0.25">
      <c r="V65" s="26">
        <v>58</v>
      </c>
      <c r="W65" s="15"/>
      <c r="X65" s="15"/>
      <c r="Y65" s="15"/>
      <c r="Z65" s="15"/>
      <c r="AA65" s="15"/>
      <c r="AB65" s="15"/>
    </row>
    <row r="66" spans="22:28" x14ac:dyDescent="0.25">
      <c r="V66" s="26">
        <v>59</v>
      </c>
      <c r="W66" s="15"/>
      <c r="X66" s="15"/>
      <c r="Y66" s="15"/>
      <c r="Z66" s="15"/>
      <c r="AA66" s="15"/>
      <c r="AB66" s="15"/>
    </row>
    <row r="67" spans="22:28" x14ac:dyDescent="0.25">
      <c r="V67" s="26">
        <v>60</v>
      </c>
      <c r="W67" s="15"/>
      <c r="X67" s="15"/>
      <c r="Y67" s="15"/>
      <c r="Z67" s="15"/>
      <c r="AA67" s="15"/>
      <c r="AB67" s="15"/>
    </row>
    <row r="68" spans="22:28" x14ac:dyDescent="0.25">
      <c r="V68" s="26">
        <v>61</v>
      </c>
      <c r="W68" s="15"/>
      <c r="X68" s="15"/>
      <c r="Y68" s="15"/>
      <c r="Z68" s="15"/>
      <c r="AA68" s="15"/>
      <c r="AB68" s="15"/>
    </row>
    <row r="69" spans="22:28" x14ac:dyDescent="0.25">
      <c r="V69" s="26">
        <v>62</v>
      </c>
      <c r="W69" s="15"/>
      <c r="X69" s="15"/>
      <c r="Y69" s="15"/>
      <c r="Z69" s="15"/>
      <c r="AA69" s="15"/>
      <c r="AB69" s="15"/>
    </row>
    <row r="70" spans="22:28" x14ac:dyDescent="0.25">
      <c r="V70" s="26">
        <v>63</v>
      </c>
      <c r="W70" s="15"/>
      <c r="X70" s="15"/>
      <c r="Y70" s="15"/>
      <c r="Z70" s="15"/>
      <c r="AA70" s="15"/>
      <c r="AB70" s="15"/>
    </row>
    <row r="71" spans="22:28" x14ac:dyDescent="0.25">
      <c r="V71" s="26">
        <v>64</v>
      </c>
      <c r="W71" s="15"/>
      <c r="X71" s="15"/>
      <c r="Y71" s="15"/>
      <c r="Z71" s="15"/>
      <c r="AA71" s="15"/>
      <c r="AB71" s="15"/>
    </row>
    <row r="72" spans="22:28" x14ac:dyDescent="0.25">
      <c r="V72" s="26">
        <v>65</v>
      </c>
      <c r="W72" s="15"/>
      <c r="X72" s="15"/>
      <c r="Y72" s="15"/>
      <c r="Z72" s="15"/>
      <c r="AA72" s="15"/>
      <c r="AB72" s="15"/>
    </row>
    <row r="73" spans="22:28" x14ac:dyDescent="0.25">
      <c r="V73" s="26">
        <v>66</v>
      </c>
      <c r="W73" s="15"/>
      <c r="X73" s="15"/>
      <c r="Y73" s="15"/>
      <c r="Z73" s="15"/>
      <c r="AA73" s="15"/>
      <c r="AB73" s="15"/>
    </row>
    <row r="74" spans="22:28" x14ac:dyDescent="0.25">
      <c r="V74" s="26">
        <v>67</v>
      </c>
      <c r="W74" s="15"/>
      <c r="X74" s="15"/>
      <c r="Y74" s="15"/>
      <c r="Z74" s="15"/>
      <c r="AA74" s="15"/>
      <c r="AB74" s="15"/>
    </row>
    <row r="75" spans="22:28" x14ac:dyDescent="0.25">
      <c r="V75" s="26">
        <v>68</v>
      </c>
      <c r="W75" s="15"/>
      <c r="X75" s="15"/>
      <c r="Y75" s="15"/>
      <c r="Z75" s="15"/>
      <c r="AA75" s="15"/>
      <c r="AB75" s="15"/>
    </row>
    <row r="76" spans="22:28" x14ac:dyDescent="0.25">
      <c r="V76" s="26">
        <v>69</v>
      </c>
      <c r="W76" s="15"/>
      <c r="X76" s="15"/>
      <c r="Y76" s="15"/>
      <c r="Z76" s="15"/>
      <c r="AA76" s="15"/>
      <c r="AB76" s="15"/>
    </row>
    <row r="77" spans="22:28" x14ac:dyDescent="0.25">
      <c r="V77" s="26">
        <v>70</v>
      </c>
      <c r="W77" s="15"/>
      <c r="X77" s="15"/>
      <c r="Y77" s="15"/>
      <c r="Z77" s="15"/>
      <c r="AA77" s="15"/>
      <c r="AB77" s="15"/>
    </row>
    <row r="78" spans="22:28" x14ac:dyDescent="0.25">
      <c r="V78" s="26">
        <v>71</v>
      </c>
      <c r="W78" s="15"/>
      <c r="X78" s="15"/>
      <c r="Y78" s="15"/>
      <c r="Z78" s="15"/>
      <c r="AA78" s="15"/>
      <c r="AB78" s="15"/>
    </row>
    <row r="79" spans="22:28" x14ac:dyDescent="0.25">
      <c r="V79" s="26">
        <v>72</v>
      </c>
      <c r="W79" s="15"/>
      <c r="X79" s="15"/>
      <c r="Y79" s="15"/>
      <c r="Z79" s="15"/>
      <c r="AA79" s="15"/>
      <c r="AB79" s="15"/>
    </row>
    <row r="80" spans="22:28" x14ac:dyDescent="0.25">
      <c r="V80" s="26">
        <v>73</v>
      </c>
      <c r="W80" s="15"/>
      <c r="X80" s="15"/>
      <c r="Y80" s="15"/>
      <c r="Z80" s="15"/>
      <c r="AA80" s="15"/>
      <c r="AB80" s="15"/>
    </row>
    <row r="81" spans="22:28" x14ac:dyDescent="0.25">
      <c r="V81" s="26">
        <v>74</v>
      </c>
      <c r="W81" s="15"/>
      <c r="X81" s="15"/>
      <c r="Y81" s="15"/>
      <c r="Z81" s="15"/>
      <c r="AA81" s="15"/>
      <c r="AB81" s="15"/>
    </row>
    <row r="82" spans="22:28" x14ac:dyDescent="0.25">
      <c r="V82" s="26">
        <v>75</v>
      </c>
      <c r="W82" s="15"/>
      <c r="X82" s="15"/>
      <c r="Y82" s="15"/>
      <c r="Z82" s="15"/>
      <c r="AA82" s="15"/>
      <c r="AB82" s="15"/>
    </row>
    <row r="83" spans="22:28" x14ac:dyDescent="0.25">
      <c r="V83" s="26">
        <v>76</v>
      </c>
      <c r="W83" s="15"/>
      <c r="X83" s="15"/>
      <c r="Y83" s="15"/>
      <c r="Z83" s="15"/>
      <c r="AA83" s="15"/>
      <c r="AB83" s="15"/>
    </row>
    <row r="84" spans="22:28" x14ac:dyDescent="0.25">
      <c r="V84" s="26">
        <v>77</v>
      </c>
      <c r="W84" s="15"/>
      <c r="X84" s="15"/>
      <c r="Y84" s="15"/>
      <c r="Z84" s="15"/>
      <c r="AA84" s="15"/>
      <c r="AB84" s="15"/>
    </row>
    <row r="85" spans="22:28" x14ac:dyDescent="0.25">
      <c r="V85" s="26">
        <v>78</v>
      </c>
      <c r="W85" s="15"/>
      <c r="X85" s="15"/>
      <c r="Y85" s="15"/>
      <c r="Z85" s="15"/>
      <c r="AA85" s="15"/>
      <c r="AB85" s="15"/>
    </row>
    <row r="86" spans="22:28" x14ac:dyDescent="0.25">
      <c r="V86" s="26">
        <v>79</v>
      </c>
      <c r="W86" s="15"/>
      <c r="X86" s="15"/>
      <c r="Y86" s="15"/>
      <c r="Z86" s="15"/>
      <c r="AA86" s="15"/>
      <c r="AB86" s="15"/>
    </row>
    <row r="87" spans="22:28" x14ac:dyDescent="0.25">
      <c r="V87" s="26">
        <v>80</v>
      </c>
      <c r="W87" s="15"/>
      <c r="X87" s="15"/>
      <c r="Y87" s="15"/>
      <c r="Z87" s="15"/>
      <c r="AA87" s="15"/>
      <c r="AB87" s="15"/>
    </row>
    <row r="88" spans="22:28" x14ac:dyDescent="0.25">
      <c r="V88" s="26">
        <v>81</v>
      </c>
      <c r="W88" s="15"/>
      <c r="X88" s="15"/>
      <c r="Y88" s="15"/>
      <c r="Z88" s="15"/>
      <c r="AA88" s="15"/>
      <c r="AB88" s="15"/>
    </row>
    <row r="89" spans="22:28" x14ac:dyDescent="0.25">
      <c r="V89" s="26">
        <v>82</v>
      </c>
      <c r="W89" s="15"/>
      <c r="X89" s="15"/>
      <c r="Y89" s="15"/>
      <c r="Z89" s="15"/>
      <c r="AA89" s="15"/>
      <c r="AB89" s="15"/>
    </row>
    <row r="90" spans="22:28" x14ac:dyDescent="0.25">
      <c r="V90" s="26">
        <v>83</v>
      </c>
      <c r="W90" s="15"/>
      <c r="X90" s="15"/>
      <c r="Y90" s="15"/>
      <c r="Z90" s="15"/>
      <c r="AA90" s="15"/>
      <c r="AB90" s="15"/>
    </row>
    <row r="91" spans="22:28" x14ac:dyDescent="0.25">
      <c r="V91" s="26">
        <v>84</v>
      </c>
      <c r="W91" s="15"/>
      <c r="X91" s="15"/>
      <c r="Y91" s="15"/>
      <c r="Z91" s="15"/>
      <c r="AA91" s="15"/>
      <c r="AB91" s="15"/>
    </row>
    <row r="92" spans="22:28" x14ac:dyDescent="0.25">
      <c r="V92" s="26">
        <v>85</v>
      </c>
      <c r="W92" s="15"/>
      <c r="X92" s="15"/>
      <c r="Y92" s="15"/>
      <c r="Z92" s="15"/>
      <c r="AA92" s="15"/>
      <c r="AB92" s="15"/>
    </row>
    <row r="93" spans="22:28" x14ac:dyDescent="0.25">
      <c r="V93" s="26">
        <v>86</v>
      </c>
      <c r="W93" s="15"/>
      <c r="X93" s="15"/>
      <c r="Y93" s="15"/>
      <c r="Z93" s="15"/>
      <c r="AA93" s="15"/>
      <c r="AB93" s="15"/>
    </row>
    <row r="94" spans="22:28" x14ac:dyDescent="0.25">
      <c r="V94" s="26">
        <v>87</v>
      </c>
      <c r="W94" s="15"/>
      <c r="X94" s="15"/>
      <c r="Y94" s="15"/>
      <c r="Z94" s="15"/>
      <c r="AA94" s="15"/>
      <c r="AB94" s="15"/>
    </row>
    <row r="95" spans="22:28" x14ac:dyDescent="0.25">
      <c r="V95" s="26">
        <v>88</v>
      </c>
      <c r="W95" s="15"/>
      <c r="X95" s="15"/>
      <c r="Y95" s="15"/>
      <c r="Z95" s="15"/>
      <c r="AA95" s="15"/>
      <c r="AB95" s="15"/>
    </row>
    <row r="96" spans="22:28" x14ac:dyDescent="0.25">
      <c r="V96" s="26">
        <v>89</v>
      </c>
      <c r="W96" s="15"/>
      <c r="X96" s="15"/>
      <c r="Y96" s="15"/>
      <c r="Z96" s="15"/>
      <c r="AA96" s="15"/>
      <c r="AB96" s="15"/>
    </row>
    <row r="97" spans="22:28" x14ac:dyDescent="0.25">
      <c r="V97" s="26">
        <v>90</v>
      </c>
      <c r="W97" s="15"/>
      <c r="X97" s="15"/>
      <c r="Y97" s="15"/>
      <c r="Z97" s="15"/>
      <c r="AA97" s="15"/>
      <c r="AB97" s="15"/>
    </row>
    <row r="98" spans="22:28" x14ac:dyDescent="0.25">
      <c r="V98" s="26">
        <v>91</v>
      </c>
      <c r="W98" s="15"/>
      <c r="X98" s="15"/>
      <c r="Y98" s="15"/>
      <c r="Z98" s="15"/>
      <c r="AA98" s="15"/>
      <c r="AB98" s="15"/>
    </row>
    <row r="99" spans="22:28" x14ac:dyDescent="0.25">
      <c r="V99" s="26">
        <v>92</v>
      </c>
      <c r="W99" s="15"/>
      <c r="X99" s="15"/>
      <c r="Y99" s="15"/>
      <c r="Z99" s="15"/>
      <c r="AA99" s="15"/>
      <c r="AB99" s="15"/>
    </row>
    <row r="100" spans="22:28" x14ac:dyDescent="0.25">
      <c r="V100" s="26">
        <v>93</v>
      </c>
      <c r="W100" s="15"/>
      <c r="X100" s="15"/>
      <c r="Y100" s="15"/>
      <c r="Z100" s="15"/>
      <c r="AA100" s="15"/>
      <c r="AB100" s="15"/>
    </row>
    <row r="101" spans="22:28" x14ac:dyDescent="0.25">
      <c r="V101" s="26">
        <v>94</v>
      </c>
      <c r="W101" s="15"/>
      <c r="X101" s="15"/>
      <c r="Y101" s="15"/>
      <c r="Z101" s="15"/>
      <c r="AA101" s="15"/>
      <c r="AB101" s="15"/>
    </row>
    <row r="102" spans="22:28" x14ac:dyDescent="0.25">
      <c r="V102" s="26">
        <v>95</v>
      </c>
      <c r="W102" s="15"/>
      <c r="X102" s="15"/>
      <c r="Y102" s="15"/>
      <c r="Z102" s="15"/>
      <c r="AA102" s="15"/>
      <c r="AB102" s="15"/>
    </row>
    <row r="103" spans="22:28" x14ac:dyDescent="0.25">
      <c r="V103" s="26">
        <v>96</v>
      </c>
      <c r="W103" s="15"/>
      <c r="X103" s="15"/>
      <c r="Y103" s="15"/>
      <c r="Z103" s="15"/>
      <c r="AA103" s="15"/>
      <c r="AB103" s="15"/>
    </row>
    <row r="104" spans="22:28" x14ac:dyDescent="0.25">
      <c r="V104" s="26">
        <v>97</v>
      </c>
      <c r="W104" s="15"/>
      <c r="X104" s="15"/>
      <c r="Y104" s="15"/>
      <c r="Z104" s="15"/>
      <c r="AA104" s="15"/>
      <c r="AB104" s="15"/>
    </row>
    <row r="105" spans="22:28" x14ac:dyDescent="0.25">
      <c r="V105" s="26">
        <v>98</v>
      </c>
      <c r="W105" s="15"/>
      <c r="X105" s="15"/>
      <c r="Y105" s="15"/>
      <c r="Z105" s="15"/>
      <c r="AA105" s="15"/>
      <c r="AB105" s="15"/>
    </row>
    <row r="106" spans="22:28" x14ac:dyDescent="0.25">
      <c r="V106" s="26">
        <v>99</v>
      </c>
      <c r="W106" s="15"/>
      <c r="X106" s="15"/>
      <c r="Y106" s="15"/>
      <c r="Z106" s="15"/>
      <c r="AA106" s="15"/>
      <c r="AB106" s="15"/>
    </row>
  </sheetData>
  <sheetProtection selectLockedCells="1"/>
  <mergeCells count="26">
    <mergeCell ref="D17:F17"/>
    <mergeCell ref="G17:I17"/>
    <mergeCell ref="M17:O17"/>
    <mergeCell ref="P17:R17"/>
    <mergeCell ref="D13:F13"/>
    <mergeCell ref="G13:I13"/>
    <mergeCell ref="M13:O13"/>
    <mergeCell ref="P13:R13"/>
    <mergeCell ref="C15:D15"/>
    <mergeCell ref="I15:J15"/>
    <mergeCell ref="L15:M15"/>
    <mergeCell ref="R15:S15"/>
    <mergeCell ref="D9:F9"/>
    <mergeCell ref="G9:I9"/>
    <mergeCell ref="M9:O9"/>
    <mergeCell ref="P9:R9"/>
    <mergeCell ref="D11:F11"/>
    <mergeCell ref="G11:I11"/>
    <mergeCell ref="M11:O11"/>
    <mergeCell ref="P11:R11"/>
    <mergeCell ref="C5:J5"/>
    <mergeCell ref="L5:S5"/>
    <mergeCell ref="D8:F8"/>
    <mergeCell ref="G8:I8"/>
    <mergeCell ref="M8:O8"/>
    <mergeCell ref="P8:R8"/>
  </mergeCells>
  <dataValidations count="2">
    <dataValidation type="list" allowBlank="1" showInputMessage="1" showErrorMessage="1" sqref="G11:I11">
      <formula1>$X$8:$X$9</formula1>
    </dataValidation>
    <dataValidation type="list" allowBlank="1" showInputMessage="1" showErrorMessage="1" sqref="G9:I9">
      <formula1>$V$8:$V$106</formula1>
    </dataValidation>
  </dataValidations>
  <pageMargins left="0.7" right="0.7" top="0.75" bottom="0.75" header="0.3" footer="0.3"/>
  <pageSetup paperSize="9" scale="85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103"/>
  <sheetViews>
    <sheetView workbookViewId="0">
      <selection activeCell="E29" sqref="E29"/>
    </sheetView>
  </sheetViews>
  <sheetFormatPr defaultRowHeight="15" x14ac:dyDescent="0.25"/>
  <cols>
    <col min="1" max="1" width="9.28515625" style="4" bestFit="1" customWidth="1"/>
    <col min="2" max="2" width="11.5703125" style="4" bestFit="1" customWidth="1"/>
    <col min="3" max="3" width="10.5703125" style="4" bestFit="1" customWidth="1"/>
    <col min="4" max="4" width="11.5703125" style="4" bestFit="1" customWidth="1"/>
    <col min="5" max="5" width="13.7109375" style="4" bestFit="1" customWidth="1"/>
    <col min="6" max="7" width="12.140625" style="4" bestFit="1" customWidth="1"/>
    <col min="8" max="16384" width="9.140625" style="4"/>
  </cols>
  <sheetData>
    <row r="2" spans="1:11" ht="18.75" x14ac:dyDescent="0.3">
      <c r="A2" s="46" t="s">
        <v>20</v>
      </c>
      <c r="B2" s="46"/>
      <c r="C2" s="46"/>
    </row>
    <row r="4" spans="1:11" x14ac:dyDescent="0.25">
      <c r="A4" s="4" t="s">
        <v>11</v>
      </c>
      <c r="B4" s="4" t="s">
        <v>21</v>
      </c>
      <c r="C4" s="4" t="s">
        <v>22</v>
      </c>
      <c r="D4" s="4" t="s">
        <v>23</v>
      </c>
      <c r="E4" s="4" t="s">
        <v>24</v>
      </c>
      <c r="F4" s="4" t="s">
        <v>25</v>
      </c>
      <c r="G4" s="4" t="s">
        <v>26</v>
      </c>
    </row>
    <row r="5" spans="1:11" x14ac:dyDescent="0.25">
      <c r="A5" s="47">
        <v>1</v>
      </c>
      <c r="B5" s="48">
        <v>9929200</v>
      </c>
      <c r="C5" s="48">
        <v>17475</v>
      </c>
      <c r="D5" s="48">
        <f>(1/(1+NSP!$G$8)^Data!A5)*B5</f>
        <v>9640000</v>
      </c>
      <c r="E5" s="48">
        <f>SUM(D5:D103)</f>
        <v>278963016.79905581</v>
      </c>
      <c r="F5" s="48">
        <f>((1/(1+NSP!$G$8))^Data!A6)*C5</f>
        <v>16471.863512112359</v>
      </c>
      <c r="G5" s="48">
        <f>SUM(F5:F103)</f>
        <v>1514863.5887093758</v>
      </c>
      <c r="J5" s="4" t="s">
        <v>11</v>
      </c>
      <c r="K5" s="4">
        <v>3</v>
      </c>
    </row>
    <row r="6" spans="1:11" x14ac:dyDescent="0.25">
      <c r="A6" s="47">
        <v>2</v>
      </c>
      <c r="B6" s="48">
        <v>9911725</v>
      </c>
      <c r="C6" s="48">
        <v>15066</v>
      </c>
      <c r="D6" s="48">
        <f>(1/(1+NSP!$G$8)^Data!A6)*B6</f>
        <v>9342751.437458761</v>
      </c>
      <c r="E6" s="48">
        <f t="shared" ref="E6:E69" si="0">SUM(D6:D104)</f>
        <v>269323016.79905576</v>
      </c>
      <c r="F6" s="48">
        <f>((1/(1+NSP!$G$8))^Data!A7)*C6</f>
        <v>13787.524239814702</v>
      </c>
      <c r="G6" s="48">
        <f t="shared" ref="G6:G69" si="1">SUM(F6:F104)</f>
        <v>1498391.7251972631</v>
      </c>
    </row>
    <row r="7" spans="1:11" x14ac:dyDescent="0.25">
      <c r="A7" s="47">
        <v>3</v>
      </c>
      <c r="B7" s="48">
        <v>9896659</v>
      </c>
      <c r="C7" s="48">
        <v>14449</v>
      </c>
      <c r="D7" s="48">
        <f>(1/(1+NSP!$G$8)^Data!A7)*B7</f>
        <v>9056844.9393123817</v>
      </c>
      <c r="E7" s="48">
        <f t="shared" si="0"/>
        <v>259980265.36159712</v>
      </c>
      <c r="F7" s="48">
        <f>((1/(1+NSP!$G$8))^Data!A8)*C7</f>
        <v>12837.749355333788</v>
      </c>
      <c r="G7" s="48">
        <f t="shared" si="1"/>
        <v>1484604.2009574487</v>
      </c>
    </row>
    <row r="8" spans="1:11" x14ac:dyDescent="0.25">
      <c r="A8" s="47">
        <v>4</v>
      </c>
      <c r="B8" s="48">
        <v>9882210</v>
      </c>
      <c r="C8" s="48">
        <v>13835</v>
      </c>
      <c r="D8" s="48">
        <f>(1/(1+NSP!$G$8)^Data!A8)*B8</f>
        <v>8780215.5897829011</v>
      </c>
      <c r="E8" s="48">
        <f t="shared" si="0"/>
        <v>250923420.42228478</v>
      </c>
      <c r="F8" s="48">
        <f>((1/(1+NSP!$G$8))^Data!A9)*C8</f>
        <v>11934.192531954908</v>
      </c>
      <c r="G8" s="48">
        <f t="shared" si="1"/>
        <v>1471766.4516021148</v>
      </c>
    </row>
    <row r="9" spans="1:11" x14ac:dyDescent="0.25">
      <c r="A9" s="47">
        <v>5</v>
      </c>
      <c r="B9" s="48">
        <v>9868375</v>
      </c>
      <c r="C9" s="48">
        <v>13322</v>
      </c>
      <c r="D9" s="48">
        <f>(1/(1+NSP!$G$8)^Data!A9)*B9</f>
        <v>8512546.9625970758</v>
      </c>
      <c r="E9" s="48">
        <f t="shared" si="0"/>
        <v>242143204.83250183</v>
      </c>
      <c r="F9" s="48">
        <f>((1/(1+NSP!$G$8))^Data!A10)*C9</f>
        <v>11156.965267539643</v>
      </c>
      <c r="G9" s="48">
        <f t="shared" si="1"/>
        <v>1459832.2590701599</v>
      </c>
    </row>
    <row r="10" spans="1:11" x14ac:dyDescent="0.25">
      <c r="A10" s="47">
        <v>6</v>
      </c>
      <c r="B10" s="48">
        <v>9855053</v>
      </c>
      <c r="C10" s="48">
        <v>12812</v>
      </c>
      <c r="D10" s="48">
        <f>(1/(1+NSP!$G$8)^Data!A10)*B10</f>
        <v>8253451.7362830192</v>
      </c>
      <c r="E10" s="48">
        <f t="shared" si="0"/>
        <v>233630657.86990476</v>
      </c>
      <c r="F10" s="48">
        <f>((1/(1+NSP!$G$8))^Data!A11)*C10</f>
        <v>10417.328443331049</v>
      </c>
      <c r="G10" s="48">
        <f t="shared" si="1"/>
        <v>1448675.2938026204</v>
      </c>
    </row>
    <row r="11" spans="1:11" x14ac:dyDescent="0.25">
      <c r="A11" s="47">
        <v>7</v>
      </c>
      <c r="B11" s="48">
        <v>9842241</v>
      </c>
      <c r="C11" s="48">
        <v>12401</v>
      </c>
      <c r="D11" s="48">
        <f>(1/(1+NSP!$G$8)^Data!A11)*B11</f>
        <v>8002642.6096955212</v>
      </c>
      <c r="E11" s="48">
        <f t="shared" si="0"/>
        <v>225377206.13362175</v>
      </c>
      <c r="F11" s="48">
        <f>((1/(1+NSP!$G$8))^Data!A12)*C11</f>
        <v>9789.4639147271155</v>
      </c>
      <c r="G11" s="48">
        <f t="shared" si="1"/>
        <v>1438257.9653592892</v>
      </c>
    </row>
    <row r="12" spans="1:11" x14ac:dyDescent="0.25">
      <c r="A12" s="47">
        <v>8</v>
      </c>
      <c r="B12" s="48">
        <v>9829840</v>
      </c>
      <c r="C12" s="48">
        <v>12091</v>
      </c>
      <c r="D12" s="48">
        <f>(1/(1+NSP!$G$8)^Data!A12)*B12</f>
        <v>7759766.4678284982</v>
      </c>
      <c r="E12" s="48">
        <f t="shared" si="0"/>
        <v>217374563.5239262</v>
      </c>
      <c r="F12" s="48">
        <f>((1/(1+NSP!$G$8))^Data!A13)*C12</f>
        <v>9266.7447107667922</v>
      </c>
      <c r="G12" s="48">
        <f t="shared" si="1"/>
        <v>1428468.5014445619</v>
      </c>
    </row>
    <row r="13" spans="1:11" x14ac:dyDescent="0.25">
      <c r="A13" s="47">
        <v>9</v>
      </c>
      <c r="B13" s="48">
        <v>9817749</v>
      </c>
      <c r="C13" s="48">
        <v>11879</v>
      </c>
      <c r="D13" s="48">
        <f>(1/(1+NSP!$G$8)^Data!A13)*B13</f>
        <v>7524487.1075499114</v>
      </c>
      <c r="E13" s="48">
        <f t="shared" si="0"/>
        <v>209614797.05609775</v>
      </c>
      <c r="F13" s="48">
        <f>((1/(1+NSP!$G$8))^Data!A14)*C13</f>
        <v>8839.0916150581961</v>
      </c>
      <c r="G13" s="48">
        <f t="shared" si="1"/>
        <v>1419201.7567337952</v>
      </c>
    </row>
    <row r="14" spans="1:11" x14ac:dyDescent="0.25">
      <c r="A14" s="47">
        <v>10</v>
      </c>
      <c r="B14" s="48">
        <v>9805870</v>
      </c>
      <c r="C14" s="48">
        <v>11865</v>
      </c>
      <c r="D14" s="48">
        <f>(1/(1+NSP!$G$8)^Data!A14)*B14</f>
        <v>7296488.19726835</v>
      </c>
      <c r="E14" s="48">
        <f t="shared" si="0"/>
        <v>202090309.94854784</v>
      </c>
      <c r="F14" s="48">
        <f>((1/(1+NSP!$G$8))^Data!A15)*C14</f>
        <v>8571.5284468443133</v>
      </c>
      <c r="G14" s="48">
        <f t="shared" si="1"/>
        <v>1410362.6651187371</v>
      </c>
    </row>
    <row r="15" spans="1:11" x14ac:dyDescent="0.25">
      <c r="A15" s="47">
        <v>11</v>
      </c>
      <c r="B15" s="48">
        <v>9794005</v>
      </c>
      <c r="C15" s="48">
        <v>12047</v>
      </c>
      <c r="D15" s="48">
        <f>(1/(1+NSP!$G$8)^Data!A15)*B15</f>
        <v>7075397.5951146614</v>
      </c>
      <c r="E15" s="48">
        <f t="shared" si="0"/>
        <v>194793821.75127947</v>
      </c>
      <c r="F15" s="48">
        <f>((1/(1+NSP!$G$8))^Data!A16)*C15</f>
        <v>8449.5234166847458</v>
      </c>
      <c r="G15" s="48">
        <f t="shared" si="1"/>
        <v>1401791.1366718928</v>
      </c>
    </row>
    <row r="16" spans="1:11" x14ac:dyDescent="0.25">
      <c r="A16" s="47">
        <v>12</v>
      </c>
      <c r="B16" s="48">
        <v>9781958</v>
      </c>
      <c r="C16" s="48">
        <v>12325</v>
      </c>
      <c r="D16" s="48">
        <f>(1/(1+NSP!$G$8)^Data!A16)*B16</f>
        <v>6860868.5300926967</v>
      </c>
      <c r="E16" s="48">
        <f t="shared" si="0"/>
        <v>187718424.15616482</v>
      </c>
      <c r="F16" s="48">
        <f>((1/(1+NSP!$G$8))^Data!A17)*C16</f>
        <v>8392.7252654159147</v>
      </c>
      <c r="G16" s="48">
        <f t="shared" si="1"/>
        <v>1393341.6132552079</v>
      </c>
    </row>
    <row r="17" spans="1:7" x14ac:dyDescent="0.25">
      <c r="A17" s="47">
        <v>13</v>
      </c>
      <c r="B17" s="48">
        <v>9769633</v>
      </c>
      <c r="C17" s="48">
        <v>12896</v>
      </c>
      <c r="D17" s="48">
        <f>(1/(1+NSP!$G$8)^Data!A17)*B17</f>
        <v>6652644.6825915705</v>
      </c>
      <c r="E17" s="48">
        <f t="shared" si="0"/>
        <v>180857555.62607211</v>
      </c>
      <c r="F17" s="48">
        <f>((1/(1+NSP!$G$8))^Data!A18)*C17</f>
        <v>8525.7752238369121</v>
      </c>
      <c r="G17" s="48">
        <f t="shared" si="1"/>
        <v>1384948.887989792</v>
      </c>
    </row>
    <row r="18" spans="1:7" x14ac:dyDescent="0.25">
      <c r="A18" s="47">
        <v>14</v>
      </c>
      <c r="B18" s="48">
        <v>9756737</v>
      </c>
      <c r="C18" s="48">
        <v>13562</v>
      </c>
      <c r="D18" s="48">
        <f>(1/(1+NSP!$G$8)^Data!A18)*B18</f>
        <v>6450352.5573893376</v>
      </c>
      <c r="E18" s="48">
        <f t="shared" si="0"/>
        <v>174204910.94348052</v>
      </c>
      <c r="F18" s="48">
        <f>((1/(1+NSP!$G$8))^Data!A19)*C18</f>
        <v>8704.9317305942841</v>
      </c>
      <c r="G18" s="48">
        <f t="shared" si="1"/>
        <v>1376423.1127659553</v>
      </c>
    </row>
    <row r="19" spans="1:7" x14ac:dyDescent="0.25">
      <c r="A19" s="47">
        <v>15</v>
      </c>
      <c r="B19" s="48">
        <v>9743175</v>
      </c>
      <c r="C19" s="48">
        <v>14225</v>
      </c>
      <c r="D19" s="48">
        <f>(1/(1+NSP!$G$8)^Data!A19)*B19</f>
        <v>6253773.2793270145</v>
      </c>
      <c r="E19" s="48">
        <f t="shared" si="0"/>
        <v>167754558.3860912</v>
      </c>
      <c r="F19" s="48">
        <f>((1/(1+NSP!$G$8))^Data!A20)*C19</f>
        <v>8864.5497104061233</v>
      </c>
      <c r="G19" s="48">
        <f t="shared" si="1"/>
        <v>1367718.1810353608</v>
      </c>
    </row>
    <row r="20" spans="1:7" x14ac:dyDescent="0.25">
      <c r="A20" s="47">
        <v>16</v>
      </c>
      <c r="B20" s="48">
        <v>9728950</v>
      </c>
      <c r="C20" s="48">
        <v>14983</v>
      </c>
      <c r="D20" s="48">
        <f>(1/(1+NSP!$G$8)^Data!A20)*B20</f>
        <v>6062759.9933255315</v>
      </c>
      <c r="E20" s="48">
        <f t="shared" si="0"/>
        <v>161500785.1067642</v>
      </c>
      <c r="F20" s="48">
        <f>((1/(1+NSP!$G$8))^Data!A21)*C20</f>
        <v>9064.9614080922038</v>
      </c>
      <c r="G20" s="48">
        <f t="shared" si="1"/>
        <v>1358853.6313249548</v>
      </c>
    </row>
    <row r="21" spans="1:7" x14ac:dyDescent="0.25">
      <c r="A21" s="47">
        <v>17</v>
      </c>
      <c r="B21" s="48">
        <v>9713967</v>
      </c>
      <c r="C21" s="48">
        <v>15737</v>
      </c>
      <c r="D21" s="48">
        <f>(1/(1+NSP!$G$8)^Data!A21)*B21</f>
        <v>5877109.7893933943</v>
      </c>
      <c r="E21" s="48">
        <f t="shared" si="0"/>
        <v>155438025.11343867</v>
      </c>
      <c r="F21" s="48">
        <f>((1/(1+NSP!$G$8))^Data!A22)*C21</f>
        <v>9243.8289400574376</v>
      </c>
      <c r="G21" s="48">
        <f t="shared" si="1"/>
        <v>1349788.6699168626</v>
      </c>
    </row>
    <row r="22" spans="1:7" x14ac:dyDescent="0.25">
      <c r="A22" s="47">
        <v>18</v>
      </c>
      <c r="B22" s="48">
        <v>9698230</v>
      </c>
      <c r="C22" s="48">
        <v>16390</v>
      </c>
      <c r="D22" s="48">
        <f>(1/(1+NSP!$G$8)^Data!A22)*B22</f>
        <v>5696688.0054224618</v>
      </c>
      <c r="E22" s="48">
        <f t="shared" si="0"/>
        <v>149560915.3240453</v>
      </c>
      <c r="F22" s="48">
        <f>((1/(1+NSP!$G$8))^Data!A23)*C22</f>
        <v>9346.9879794474473</v>
      </c>
      <c r="G22" s="48">
        <f t="shared" si="1"/>
        <v>1340544.840976805</v>
      </c>
    </row>
    <row r="23" spans="1:7" x14ac:dyDescent="0.25">
      <c r="A23" s="47">
        <v>19</v>
      </c>
      <c r="B23" s="48">
        <v>9681840</v>
      </c>
      <c r="C23" s="48">
        <v>16846</v>
      </c>
      <c r="D23" s="48">
        <f>(1/(1+NSP!$G$8)^Data!A23)*B23</f>
        <v>5521418.0658287676</v>
      </c>
      <c r="E23" s="48">
        <f t="shared" si="0"/>
        <v>143864227.3186228</v>
      </c>
      <c r="F23" s="48">
        <f>((1/(1+NSP!$G$8))^Data!A24)*C23</f>
        <v>9327.2217550229943</v>
      </c>
      <c r="G23" s="48">
        <f t="shared" si="1"/>
        <v>1331197.8529973575</v>
      </c>
    </row>
    <row r="24" spans="1:7" x14ac:dyDescent="0.25">
      <c r="A24" s="47">
        <v>20</v>
      </c>
      <c r="B24" s="48">
        <v>9664994</v>
      </c>
      <c r="C24" s="48">
        <v>17300</v>
      </c>
      <c r="D24" s="48">
        <f>(1/(1+NSP!$G$8)^Data!A24)*B24</f>
        <v>5351272.8421564028</v>
      </c>
      <c r="E24" s="48">
        <f t="shared" si="0"/>
        <v>138342809.25279406</v>
      </c>
      <c r="F24" s="48">
        <f>((1/(1+NSP!$G$8))^Data!A25)*C24</f>
        <v>9299.602473226787</v>
      </c>
      <c r="G24" s="48">
        <f t="shared" si="1"/>
        <v>1321870.6312423344</v>
      </c>
    </row>
    <row r="25" spans="1:7" x14ac:dyDescent="0.25">
      <c r="A25" s="47">
        <v>21</v>
      </c>
      <c r="B25" s="48">
        <v>9647694</v>
      </c>
      <c r="C25" s="48">
        <v>17655</v>
      </c>
      <c r="D25" s="48">
        <f>(1/(1+NSP!$G$8)^Data!A25)*B25</f>
        <v>5186110.923892213</v>
      </c>
      <c r="E25" s="48">
        <f t="shared" si="0"/>
        <v>132991536.41063769</v>
      </c>
      <c r="F25" s="48">
        <f>((1/(1+NSP!$G$8))^Data!A26)*C25</f>
        <v>9214.0121030820446</v>
      </c>
      <c r="G25" s="48">
        <f t="shared" si="1"/>
        <v>1312571.0287691075</v>
      </c>
    </row>
    <row r="26" spans="1:7" x14ac:dyDescent="0.25">
      <c r="A26" s="47">
        <v>22</v>
      </c>
      <c r="B26" s="48">
        <v>9630039</v>
      </c>
      <c r="C26" s="48">
        <v>17912</v>
      </c>
      <c r="D26" s="48">
        <f>(1/(1+NSP!$G$8)^Data!A26)*B26</f>
        <v>5025845.1373068336</v>
      </c>
      <c r="E26" s="48">
        <f t="shared" si="0"/>
        <v>127805425.48674546</v>
      </c>
      <c r="F26" s="48">
        <f>((1/(1+NSP!$G$8))^Data!A27)*C26</f>
        <v>9075.8625978726868</v>
      </c>
      <c r="G26" s="48">
        <f t="shared" si="1"/>
        <v>1303357.0166660259</v>
      </c>
    </row>
    <row r="27" spans="1:7" x14ac:dyDescent="0.25">
      <c r="A27" s="47">
        <v>23</v>
      </c>
      <c r="B27" s="48">
        <v>9612127</v>
      </c>
      <c r="C27" s="48">
        <v>18167</v>
      </c>
      <c r="D27" s="48">
        <f>(1/(1+NSP!$G$8)^Data!A27)*B27</f>
        <v>4870385.4357582759</v>
      </c>
      <c r="E27" s="48">
        <f t="shared" si="0"/>
        <v>122779580.34943862</v>
      </c>
      <c r="F27" s="48">
        <f>((1/(1+NSP!$G$8))^Data!A28)*C27</f>
        <v>8936.9601880798637</v>
      </c>
      <c r="G27" s="48">
        <f t="shared" si="1"/>
        <v>1294281.1540681529</v>
      </c>
    </row>
    <row r="28" spans="1:7" x14ac:dyDescent="0.25">
      <c r="A28" s="47">
        <v>24</v>
      </c>
      <c r="B28" s="48">
        <v>9593960</v>
      </c>
      <c r="C28" s="48">
        <v>18324</v>
      </c>
      <c r="D28" s="48">
        <f>(1/(1+NSP!$G$8)^Data!A28)*B28</f>
        <v>4719592.5890918002</v>
      </c>
      <c r="E28" s="48">
        <f t="shared" si="0"/>
        <v>117909194.91368036</v>
      </c>
      <c r="F28" s="48">
        <f>((1/(1+NSP!$G$8))^Data!A29)*C28</f>
        <v>8751.644451150647</v>
      </c>
      <c r="G28" s="48">
        <f t="shared" si="1"/>
        <v>1285344.1938800733</v>
      </c>
    </row>
    <row r="29" spans="1:7" x14ac:dyDescent="0.25">
      <c r="A29" s="47">
        <v>25</v>
      </c>
      <c r="B29" s="48">
        <v>9575636</v>
      </c>
      <c r="C29" s="48">
        <v>18481</v>
      </c>
      <c r="D29" s="48">
        <f>(1/(1+NSP!$G$8)^Data!A29)*B29</f>
        <v>4573377.0828224411</v>
      </c>
      <c r="E29" s="48">
        <f t="shared" si="0"/>
        <v>113189602.32458858</v>
      </c>
      <c r="F29" s="48">
        <f>((1/(1+NSP!$G$8))^Data!A30)*C29</f>
        <v>8569.5422577909958</v>
      </c>
      <c r="G29" s="48">
        <f t="shared" si="1"/>
        <v>1276592.5494289226</v>
      </c>
    </row>
    <row r="30" spans="1:7" x14ac:dyDescent="0.25">
      <c r="A30" s="47">
        <v>26</v>
      </c>
      <c r="B30" s="48">
        <v>9557155</v>
      </c>
      <c r="C30" s="48">
        <v>18732</v>
      </c>
      <c r="D30" s="48">
        <f>(1/(1+NSP!$G$8)^Data!A30)*B30</f>
        <v>4431602.38281254</v>
      </c>
      <c r="E30" s="48">
        <f t="shared" si="0"/>
        <v>108616225.24176614</v>
      </c>
      <c r="F30" s="48">
        <f>((1/(1+NSP!$G$8))^Data!A31)*C30</f>
        <v>8432.9413926000598</v>
      </c>
      <c r="G30" s="48">
        <f t="shared" si="1"/>
        <v>1268023.0071711312</v>
      </c>
    </row>
    <row r="31" spans="1:7" x14ac:dyDescent="0.25">
      <c r="A31" s="47">
        <v>27</v>
      </c>
      <c r="B31" s="48">
        <v>9538423</v>
      </c>
      <c r="C31" s="48">
        <v>18981</v>
      </c>
      <c r="D31" s="48">
        <f>(1/(1+NSP!$G$8)^Data!A31)*B31</f>
        <v>4294093.643862294</v>
      </c>
      <c r="E31" s="48">
        <f t="shared" si="0"/>
        <v>104184622.85895361</v>
      </c>
      <c r="F31" s="48">
        <f>((1/(1+NSP!$G$8))^Data!A32)*C31</f>
        <v>8296.1538519278438</v>
      </c>
      <c r="G31" s="48">
        <f t="shared" si="1"/>
        <v>1259590.0657785311</v>
      </c>
    </row>
    <row r="32" spans="1:7" x14ac:dyDescent="0.25">
      <c r="A32" s="47">
        <v>28</v>
      </c>
      <c r="B32" s="48">
        <v>9519442</v>
      </c>
      <c r="C32" s="48">
        <v>19324</v>
      </c>
      <c r="D32" s="48">
        <f>(1/(1+NSP!$G$8)^Data!A32)*B32</f>
        <v>4160726.8013541824</v>
      </c>
      <c r="E32" s="48">
        <f t="shared" si="0"/>
        <v>99890529.215091303</v>
      </c>
      <c r="F32" s="48">
        <f>((1/(1+NSP!$G$8))^Data!A33)*C32</f>
        <v>8200.0691051119411</v>
      </c>
      <c r="G32" s="48">
        <f t="shared" si="1"/>
        <v>1251293.9119266039</v>
      </c>
    </row>
    <row r="33" spans="1:7" x14ac:dyDescent="0.25">
      <c r="A33" s="47">
        <v>29</v>
      </c>
      <c r="B33" s="48">
        <v>9500118</v>
      </c>
      <c r="C33" s="48">
        <v>19760</v>
      </c>
      <c r="D33" s="48">
        <f>(1/(1+NSP!$G$8)^Data!A33)*B33</f>
        <v>4031340.5147339008</v>
      </c>
      <c r="E33" s="48">
        <f t="shared" si="0"/>
        <v>95729802.413737133</v>
      </c>
      <c r="F33" s="48">
        <f>((1/(1+NSP!$G$8))^Data!A34)*C33</f>
        <v>8140.8583680343154</v>
      </c>
      <c r="G33" s="48">
        <f t="shared" si="1"/>
        <v>1243093.8428214919</v>
      </c>
    </row>
    <row r="34" spans="1:7" x14ac:dyDescent="0.25">
      <c r="A34" s="47">
        <v>30</v>
      </c>
      <c r="B34" s="48">
        <v>9480358</v>
      </c>
      <c r="C34" s="48">
        <v>20193</v>
      </c>
      <c r="D34" s="48">
        <f>(1/(1+NSP!$G$8)^Data!A34)*B34</f>
        <v>3905781.9714707043</v>
      </c>
      <c r="E34" s="48">
        <f t="shared" si="0"/>
        <v>91698461.899003223</v>
      </c>
      <c r="F34" s="48">
        <f>((1/(1+NSP!$G$8))^Data!A35)*C34</f>
        <v>8076.9404222375761</v>
      </c>
      <c r="G34" s="48">
        <f t="shared" si="1"/>
        <v>1234952.9844534574</v>
      </c>
    </row>
    <row r="35" spans="1:7" x14ac:dyDescent="0.25">
      <c r="A35" s="47">
        <v>31</v>
      </c>
      <c r="B35" s="48">
        <v>9460165</v>
      </c>
      <c r="C35" s="48">
        <v>20718</v>
      </c>
      <c r="D35" s="48">
        <f>(1/(1+NSP!$G$8)^Data!A35)*B35</f>
        <v>3783944.3911027173</v>
      </c>
      <c r="E35" s="48">
        <f t="shared" si="0"/>
        <v>87792679.927532524</v>
      </c>
      <c r="F35" s="48">
        <f>((1/(1+NSP!$G$8))^Data!A36)*C35</f>
        <v>8045.5666732496493</v>
      </c>
      <c r="G35" s="48">
        <f t="shared" si="1"/>
        <v>1226876.0440312196</v>
      </c>
    </row>
    <row r="36" spans="1:7" x14ac:dyDescent="0.25">
      <c r="A36" s="47">
        <v>32</v>
      </c>
      <c r="B36" s="48">
        <v>9439447</v>
      </c>
      <c r="C36" s="48">
        <v>21239</v>
      </c>
      <c r="D36" s="48">
        <f>(1/(1+NSP!$G$8)^Data!A36)*B36</f>
        <v>3665686.8518730784</v>
      </c>
      <c r="E36" s="48">
        <f t="shared" si="0"/>
        <v>84008735.536429808</v>
      </c>
      <c r="F36" s="48">
        <f>((1/(1+NSP!$G$8))^Data!A37)*C36</f>
        <v>8007.6604544029205</v>
      </c>
      <c r="G36" s="48">
        <f t="shared" si="1"/>
        <v>1218830.4773579701</v>
      </c>
    </row>
    <row r="37" spans="1:7" x14ac:dyDescent="0.25">
      <c r="A37" s="47">
        <v>33</v>
      </c>
      <c r="B37" s="48">
        <v>9418208</v>
      </c>
      <c r="C37" s="48">
        <v>21850</v>
      </c>
      <c r="D37" s="48">
        <f>(1/(1+NSP!$G$8)^Data!A37)*B37</f>
        <v>3550911.6132087801</v>
      </c>
      <c r="E37" s="48">
        <f t="shared" si="0"/>
        <v>80343048.684556723</v>
      </c>
      <c r="F37" s="48">
        <f>((1/(1+NSP!$G$8))^Data!A38)*C37</f>
        <v>7998.0810593766555</v>
      </c>
      <c r="G37" s="48">
        <f t="shared" si="1"/>
        <v>1210822.8169035674</v>
      </c>
    </row>
    <row r="38" spans="1:7" x14ac:dyDescent="0.25">
      <c r="A38" s="47">
        <v>34</v>
      </c>
      <c r="B38" s="48">
        <v>9396358</v>
      </c>
      <c r="C38" s="48">
        <v>22551</v>
      </c>
      <c r="D38" s="48">
        <f>(1/(1+NSP!$G$8)^Data!A38)*B38</f>
        <v>3439488.9220559443</v>
      </c>
      <c r="E38" s="48">
        <f t="shared" si="0"/>
        <v>76792137.071347922</v>
      </c>
      <c r="F38" s="48">
        <f>((1/(1+NSP!$G$8))^Data!A39)*C38</f>
        <v>8014.2510039769377</v>
      </c>
      <c r="G38" s="48">
        <f t="shared" si="1"/>
        <v>1202824.7358441907</v>
      </c>
    </row>
    <row r="39" spans="1:7" x14ac:dyDescent="0.25">
      <c r="A39" s="47">
        <v>35</v>
      </c>
      <c r="B39" s="48">
        <v>9373807</v>
      </c>
      <c r="C39" s="48">
        <v>23528</v>
      </c>
      <c r="D39" s="48">
        <f>(1/(1+NSP!$G$8)^Data!A39)*B39</f>
        <v>3331295.3820600458</v>
      </c>
      <c r="E39" s="48">
        <f t="shared" si="0"/>
        <v>73352648.149291962</v>
      </c>
      <c r="F39" s="48">
        <f>((1/(1+NSP!$G$8))^Data!A40)*C39</f>
        <v>8117.9228967337203</v>
      </c>
      <c r="G39" s="48">
        <f t="shared" si="1"/>
        <v>1194810.4848402138</v>
      </c>
    </row>
    <row r="40" spans="1:7" x14ac:dyDescent="0.25">
      <c r="A40" s="47">
        <v>36</v>
      </c>
      <c r="B40" s="48">
        <v>9350279</v>
      </c>
      <c r="C40" s="48">
        <v>24685</v>
      </c>
      <c r="D40" s="48">
        <f>(1/(1+NSP!$G$8)^Data!A40)*B40</f>
        <v>3226149.4383266116</v>
      </c>
      <c r="E40" s="48">
        <f t="shared" si="0"/>
        <v>70021352.767231911</v>
      </c>
      <c r="F40" s="48">
        <f>((1/(1+NSP!$G$8))^Data!A41)*C40</f>
        <v>8269.0537985672872</v>
      </c>
      <c r="G40" s="48">
        <f t="shared" si="1"/>
        <v>1186692.5619434798</v>
      </c>
    </row>
    <row r="41" spans="1:7" x14ac:dyDescent="0.25">
      <c r="A41" s="47">
        <v>37</v>
      </c>
      <c r="B41" s="48">
        <v>9325594</v>
      </c>
      <c r="C41" s="48">
        <v>26112</v>
      </c>
      <c r="D41" s="48">
        <f>(1/(1+NSP!$G$8)^Data!A41)*B41</f>
        <v>3123914.8669068818</v>
      </c>
      <c r="E41" s="48">
        <f t="shared" si="0"/>
        <v>66795203.328905277</v>
      </c>
      <c r="F41" s="48">
        <f>((1/(1+NSP!$G$8))^Data!A42)*C41</f>
        <v>8492.3052908664322</v>
      </c>
      <c r="G41" s="48">
        <f t="shared" si="1"/>
        <v>1178423.5081449128</v>
      </c>
    </row>
    <row r="42" spans="1:7" x14ac:dyDescent="0.25">
      <c r="A42" s="47">
        <v>38</v>
      </c>
      <c r="B42" s="48">
        <v>9299482</v>
      </c>
      <c r="C42" s="48">
        <v>27991</v>
      </c>
      <c r="D42" s="48">
        <f>(1/(1+NSP!$G$8)^Data!A42)*B42</f>
        <v>3024434.7499585333</v>
      </c>
      <c r="E42" s="48">
        <f t="shared" si="0"/>
        <v>63671288.461998396</v>
      </c>
      <c r="F42" s="48">
        <f>((1/(1+NSP!$G$8))^Data!A43)*C42</f>
        <v>8838.2575060026084</v>
      </c>
      <c r="G42" s="48">
        <f t="shared" si="1"/>
        <v>1169931.2028540461</v>
      </c>
    </row>
    <row r="43" spans="1:7" x14ac:dyDescent="0.25">
      <c r="A43" s="47">
        <v>39</v>
      </c>
      <c r="B43" s="48">
        <v>9271491</v>
      </c>
      <c r="C43" s="48">
        <v>30132</v>
      </c>
      <c r="D43" s="48">
        <f>(1/(1+NSP!$G$8)^Data!A43)*B43</f>
        <v>2927506.159929466</v>
      </c>
      <c r="E43" s="48">
        <f t="shared" si="0"/>
        <v>60646853.712039851</v>
      </c>
      <c r="F43" s="48">
        <f>((1/(1+NSP!$G$8))^Data!A44)*C43</f>
        <v>9237.1707261963384</v>
      </c>
      <c r="G43" s="48">
        <f t="shared" si="1"/>
        <v>1161092.9453480435</v>
      </c>
    </row>
    <row r="44" spans="1:7" x14ac:dyDescent="0.25">
      <c r="A44" s="47">
        <v>40</v>
      </c>
      <c r="B44" s="48">
        <v>9241359</v>
      </c>
      <c r="C44" s="48">
        <v>32622</v>
      </c>
      <c r="D44" s="48">
        <f>(1/(1+NSP!$G$8)^Data!A44)*B44</f>
        <v>2833001.8194965869</v>
      </c>
      <c r="E44" s="48">
        <f t="shared" si="0"/>
        <v>57719347.552110396</v>
      </c>
      <c r="F44" s="48">
        <f>((1/(1+NSP!$G$8))^Data!A45)*C44</f>
        <v>9709.2206405078814</v>
      </c>
      <c r="G44" s="48">
        <f t="shared" si="1"/>
        <v>1151855.7746218476</v>
      </c>
    </row>
    <row r="45" spans="1:7" x14ac:dyDescent="0.25">
      <c r="A45" s="47">
        <v>41</v>
      </c>
      <c r="B45" s="48">
        <v>9208737</v>
      </c>
      <c r="C45" s="48">
        <v>35362</v>
      </c>
      <c r="D45" s="48">
        <f>(1/(1+NSP!$G$8)^Data!A45)*B45</f>
        <v>2740777.9827542366</v>
      </c>
      <c r="E45" s="48">
        <f t="shared" si="0"/>
        <v>54886345.732613809</v>
      </c>
      <c r="F45" s="48">
        <f>((1/(1+NSP!$G$8))^Data!A46)*C45</f>
        <v>10218.176080161511</v>
      </c>
      <c r="G45" s="48">
        <f t="shared" si="1"/>
        <v>1142146.5539813396</v>
      </c>
    </row>
    <row r="46" spans="1:7" x14ac:dyDescent="0.25">
      <c r="A46" s="47">
        <v>42</v>
      </c>
      <c r="B46" s="48">
        <v>9173375</v>
      </c>
      <c r="C46" s="48">
        <v>38253</v>
      </c>
      <c r="D46" s="48">
        <f>(1/(1+NSP!$G$8)^Data!A46)*B46</f>
        <v>2650731.3217394855</v>
      </c>
      <c r="E46" s="48">
        <f t="shared" si="0"/>
        <v>52145567.749859564</v>
      </c>
      <c r="F46" s="48">
        <f>((1/(1+NSP!$G$8))^Data!A47)*C46</f>
        <v>10731.608928964344</v>
      </c>
      <c r="G46" s="48">
        <f t="shared" si="1"/>
        <v>1131928.3779011779</v>
      </c>
    </row>
    <row r="47" spans="1:7" x14ac:dyDescent="0.25">
      <c r="A47" s="47">
        <v>43</v>
      </c>
      <c r="B47" s="48">
        <v>9135122</v>
      </c>
      <c r="C47" s="48">
        <v>41382</v>
      </c>
      <c r="D47" s="48">
        <f>(1/(1+NSP!$G$8)^Data!A47)*B47</f>
        <v>2562793.9461579146</v>
      </c>
      <c r="E47" s="48">
        <f t="shared" si="0"/>
        <v>49494836.428120084</v>
      </c>
      <c r="F47" s="48">
        <f>((1/(1+NSP!$G$8))^Data!A48)*C47</f>
        <v>11271.289102483048</v>
      </c>
      <c r="G47" s="48">
        <f t="shared" si="1"/>
        <v>1121196.7689722138</v>
      </c>
    </row>
    <row r="48" spans="1:7" x14ac:dyDescent="0.25">
      <c r="A48" s="47">
        <v>44</v>
      </c>
      <c r="B48" s="48">
        <v>9093740</v>
      </c>
      <c r="C48" s="48">
        <v>44741</v>
      </c>
      <c r="D48" s="48">
        <f>(1/(1+NSP!$G$8)^Data!A48)*B48</f>
        <v>2476878.1731867548</v>
      </c>
      <c r="E48" s="48">
        <f t="shared" si="0"/>
        <v>46932042.481962167</v>
      </c>
      <c r="F48" s="48">
        <f>((1/(1+NSP!$G$8))^Data!A49)*C48</f>
        <v>11831.248465849418</v>
      </c>
      <c r="G48" s="48">
        <f t="shared" si="1"/>
        <v>1109925.4798697308</v>
      </c>
    </row>
    <row r="49" spans="1:7" x14ac:dyDescent="0.25">
      <c r="A49" s="47">
        <v>45</v>
      </c>
      <c r="B49" s="48">
        <v>9048999</v>
      </c>
      <c r="C49" s="48">
        <v>48412</v>
      </c>
      <c r="D49" s="48">
        <f>(1/(1+NSP!$G$8)^Data!A49)*B49</f>
        <v>2392904.8420067281</v>
      </c>
      <c r="E49" s="48">
        <f t="shared" si="0"/>
        <v>44455164.308775418</v>
      </c>
      <c r="F49" s="48">
        <f>((1/(1+NSP!$G$8))^Data!A50)*C49</f>
        <v>12429.128789989374</v>
      </c>
      <c r="G49" s="48">
        <f t="shared" si="1"/>
        <v>1098094.2314038812</v>
      </c>
    </row>
    <row r="50" spans="1:7" x14ac:dyDescent="0.25">
      <c r="A50" s="47">
        <v>46</v>
      </c>
      <c r="B50" s="48">
        <v>9000587</v>
      </c>
      <c r="C50" s="48">
        <v>52473</v>
      </c>
      <c r="D50" s="48">
        <f>(1/(1+NSP!$G$8)^Data!A50)*B50</f>
        <v>2310779.4556825622</v>
      </c>
      <c r="E50" s="48">
        <f t="shared" si="0"/>
        <v>42062259.466768704</v>
      </c>
      <c r="F50" s="48">
        <f>((1/(1+NSP!$G$8))^Data!A51)*C50</f>
        <v>13079.355174660066</v>
      </c>
      <c r="G50" s="48">
        <f t="shared" si="1"/>
        <v>1085665.1026138919</v>
      </c>
    </row>
    <row r="51" spans="1:7" x14ac:dyDescent="0.25">
      <c r="A51" s="47">
        <v>47</v>
      </c>
      <c r="B51" s="48">
        <v>8948114</v>
      </c>
      <c r="C51" s="48">
        <v>56910</v>
      </c>
      <c r="D51" s="48">
        <f>(1/(1+NSP!$G$8)^Data!A51)*B51</f>
        <v>2230395.8445171476</v>
      </c>
      <c r="E51" s="48">
        <f t="shared" si="0"/>
        <v>39751480.011086129</v>
      </c>
      <c r="F51" s="48">
        <f>((1/(1+NSP!$G$8))^Data!A52)*C51</f>
        <v>13772.151762004729</v>
      </c>
      <c r="G51" s="48">
        <f t="shared" si="1"/>
        <v>1072585.747439232</v>
      </c>
    </row>
    <row r="52" spans="1:7" x14ac:dyDescent="0.25">
      <c r="A52" s="47">
        <v>48</v>
      </c>
      <c r="B52" s="48">
        <v>8891204</v>
      </c>
      <c r="C52" s="48">
        <v>61794</v>
      </c>
      <c r="D52" s="48">
        <f>(1/(1+NSP!$G$8)^Data!A52)*B52</f>
        <v>2151660.7069925079</v>
      </c>
      <c r="E52" s="48">
        <f t="shared" si="0"/>
        <v>37521084.166569002</v>
      </c>
      <c r="F52" s="48">
        <f>((1/(1+NSP!$G$8))^Data!A53)*C52</f>
        <v>14518.518355183882</v>
      </c>
      <c r="G52" s="48">
        <f t="shared" si="1"/>
        <v>1058813.595677227</v>
      </c>
    </row>
    <row r="53" spans="1:7" x14ac:dyDescent="0.25">
      <c r="A53" s="47">
        <v>49</v>
      </c>
      <c r="B53" s="48">
        <v>8829410</v>
      </c>
      <c r="C53" s="48">
        <v>67104</v>
      </c>
      <c r="D53" s="48">
        <f>(1/(1+NSP!$G$8)^Data!A53)*B53</f>
        <v>2074472.4593074452</v>
      </c>
      <c r="E53" s="48">
        <f t="shared" si="0"/>
        <v>35369423.45957648</v>
      </c>
      <c r="F53" s="48">
        <f>((1/(1+NSP!$G$8))^Data!A54)*C53</f>
        <v>15306.897482211632</v>
      </c>
      <c r="G53" s="48">
        <f t="shared" si="1"/>
        <v>1044295.077322043</v>
      </c>
    </row>
    <row r="54" spans="1:7" x14ac:dyDescent="0.25">
      <c r="A54" s="47">
        <v>50</v>
      </c>
      <c r="B54" s="48">
        <v>8762306</v>
      </c>
      <c r="C54" s="48">
        <v>72902</v>
      </c>
      <c r="D54" s="48">
        <f>(1/(1+NSP!$G$8)^Data!A54)*B54</f>
        <v>1998744.0338842401</v>
      </c>
      <c r="E54" s="48">
        <f t="shared" si="0"/>
        <v>33294951.000269055</v>
      </c>
      <c r="F54" s="48">
        <f>((1/(1+NSP!$G$8))^Data!A55)*C54</f>
        <v>16145.1090590608</v>
      </c>
      <c r="G54" s="48">
        <f t="shared" si="1"/>
        <v>1028988.1798398314</v>
      </c>
    </row>
    <row r="55" spans="1:7" x14ac:dyDescent="0.25">
      <c r="A55" s="47">
        <v>51</v>
      </c>
      <c r="B55" s="48">
        <v>8689404</v>
      </c>
      <c r="C55" s="48">
        <v>79160</v>
      </c>
      <c r="D55" s="48">
        <f>(1/(1+NSP!$G$8)^Data!A55)*B55</f>
        <v>1924383.0791780655</v>
      </c>
      <c r="E55" s="48">
        <f t="shared" si="0"/>
        <v>31296206.966384813</v>
      </c>
      <c r="F55" s="48">
        <f>((1/(1+NSP!$G$8))^Data!A56)*C55</f>
        <v>17020.413268127915</v>
      </c>
      <c r="G55" s="48">
        <f t="shared" si="1"/>
        <v>1012843.0707807706</v>
      </c>
    </row>
    <row r="56" spans="1:7" x14ac:dyDescent="0.25">
      <c r="A56" s="47">
        <v>52</v>
      </c>
      <c r="B56" s="48">
        <v>8610244</v>
      </c>
      <c r="C56" s="48">
        <v>85758</v>
      </c>
      <c r="D56" s="48">
        <f>(1/(1+NSP!$G$8)^Data!A56)*B56</f>
        <v>1851312.673312518</v>
      </c>
      <c r="E56" s="48">
        <f t="shared" si="0"/>
        <v>29371823.887206748</v>
      </c>
      <c r="F56" s="48">
        <f>((1/(1+NSP!$G$8))^Data!A57)*C56</f>
        <v>17902.007499228719</v>
      </c>
      <c r="G56" s="48">
        <f t="shared" si="1"/>
        <v>995822.65751264268</v>
      </c>
    </row>
    <row r="57" spans="1:7" x14ac:dyDescent="0.25">
      <c r="A57" s="47">
        <v>53</v>
      </c>
      <c r="B57" s="48">
        <v>8524486</v>
      </c>
      <c r="C57" s="48">
        <v>92832</v>
      </c>
      <c r="D57" s="48">
        <f>(1/(1+NSP!$G$8)^Data!A57)*B57</f>
        <v>1779488.9374643813</v>
      </c>
      <c r="E57" s="48">
        <f t="shared" si="0"/>
        <v>27520511.213894226</v>
      </c>
      <c r="F57" s="48">
        <f>((1/(1+NSP!$G$8))^Data!A58)*C57</f>
        <v>18814.278700352792</v>
      </c>
      <c r="G57" s="48">
        <f t="shared" si="1"/>
        <v>977920.65001341398</v>
      </c>
    </row>
    <row r="58" spans="1:7" x14ac:dyDescent="0.25">
      <c r="A58" s="47">
        <v>54</v>
      </c>
      <c r="B58" s="48">
        <v>8431654</v>
      </c>
      <c r="C58" s="48">
        <v>100337</v>
      </c>
      <c r="D58" s="48">
        <f>(1/(1+NSP!$G$8)^Data!A58)*B58</f>
        <v>1708844.8838864251</v>
      </c>
      <c r="E58" s="48">
        <f t="shared" si="0"/>
        <v>25741022.276429847</v>
      </c>
      <c r="F58" s="48">
        <f>((1/(1+NSP!$G$8))^Data!A59)*C58</f>
        <v>19743.027617248004</v>
      </c>
      <c r="G58" s="48">
        <f t="shared" si="1"/>
        <v>959106.37131306122</v>
      </c>
    </row>
    <row r="59" spans="1:7" x14ac:dyDescent="0.25">
      <c r="A59" s="47">
        <v>55</v>
      </c>
      <c r="B59" s="48">
        <v>8331317</v>
      </c>
      <c r="C59" s="48">
        <v>108307</v>
      </c>
      <c r="D59" s="48">
        <f>(1/(1+NSP!$G$8)^Data!A59)*B59</f>
        <v>1639329.6751851062</v>
      </c>
      <c r="E59" s="48">
        <f t="shared" si="0"/>
        <v>24032177.39254342</v>
      </c>
      <c r="F59" s="48">
        <f>((1/(1+NSP!$G$8))^Data!A60)*C59</f>
        <v>20690.545600561833</v>
      </c>
      <c r="G59" s="48">
        <f t="shared" si="1"/>
        <v>939363.34369581321</v>
      </c>
    </row>
    <row r="60" spans="1:7" x14ac:dyDescent="0.25">
      <c r="A60" s="47">
        <v>56</v>
      </c>
      <c r="B60" s="48">
        <v>8223010</v>
      </c>
      <c r="C60" s="48">
        <v>116849</v>
      </c>
      <c r="D60" s="48">
        <f>(1/(1+NSP!$G$8)^Data!A60)*B60</f>
        <v>1570891.6633170173</v>
      </c>
      <c r="E60" s="48">
        <f t="shared" si="0"/>
        <v>22392847.717358314</v>
      </c>
      <c r="F60" s="48">
        <f>((1/(1+NSP!$G$8))^Data!A61)*C60</f>
        <v>21672.209578292859</v>
      </c>
      <c r="G60" s="48">
        <f t="shared" si="1"/>
        <v>918672.79809525143</v>
      </c>
    </row>
    <row r="61" spans="1:7" x14ac:dyDescent="0.25">
      <c r="A61" s="47">
        <v>57</v>
      </c>
      <c r="B61" s="48">
        <v>8106161</v>
      </c>
      <c r="C61" s="48">
        <v>125970</v>
      </c>
      <c r="D61" s="48">
        <f>(1/(1+NSP!$G$8)^Data!A61)*B61</f>
        <v>1503465.3276226947</v>
      </c>
      <c r="E61" s="48">
        <f t="shared" si="0"/>
        <v>20821956.054041293</v>
      </c>
      <c r="F61" s="48">
        <f>((1/(1+NSP!$G$8))^Data!A62)*C61</f>
        <v>22683.397139944624</v>
      </c>
      <c r="G61" s="48">
        <f t="shared" si="1"/>
        <v>897000.58851695852</v>
      </c>
    </row>
    <row r="62" spans="1:7" x14ac:dyDescent="0.25">
      <c r="A62" s="47">
        <v>58</v>
      </c>
      <c r="B62" s="48">
        <v>7980191</v>
      </c>
      <c r="C62" s="48">
        <v>135663</v>
      </c>
      <c r="D62" s="48">
        <f>(1/(1+NSP!$G$8)^Data!A62)*B62</f>
        <v>1436991.6782218949</v>
      </c>
      <c r="E62" s="48">
        <f t="shared" si="0"/>
        <v>19318490.726418599</v>
      </c>
      <c r="F62" s="48">
        <f>((1/(1+NSP!$G$8))^Data!A63)*C62</f>
        <v>23717.29519662416</v>
      </c>
      <c r="G62" s="48">
        <f t="shared" si="1"/>
        <v>874317.19137701392</v>
      </c>
    </row>
    <row r="63" spans="1:7" x14ac:dyDescent="0.25">
      <c r="A63" s="47">
        <v>59</v>
      </c>
      <c r="B63" s="48">
        <v>7844528</v>
      </c>
      <c r="C63" s="48">
        <v>145830</v>
      </c>
      <c r="D63" s="48">
        <f>(1/(1+NSP!$G$8)^Data!A63)*B63</f>
        <v>1371420.2564751182</v>
      </c>
      <c r="E63" s="48">
        <f t="shared" si="0"/>
        <v>17881499.048196707</v>
      </c>
      <c r="F63" s="48">
        <f>((1/(1+NSP!$G$8))^Data!A64)*C63</f>
        <v>24752.176517094162</v>
      </c>
      <c r="G63" s="48">
        <f t="shared" si="1"/>
        <v>850599.8961803898</v>
      </c>
    </row>
    <row r="64" spans="1:7" x14ac:dyDescent="0.25">
      <c r="A64" s="47">
        <v>60</v>
      </c>
      <c r="B64" s="48">
        <v>7698698</v>
      </c>
      <c r="C64" s="48">
        <v>156592</v>
      </c>
      <c r="D64" s="48">
        <f>(1/(1+NSP!$G$8)^Data!A64)*B64</f>
        <v>1306723.800643215</v>
      </c>
      <c r="E64" s="48">
        <f t="shared" si="0"/>
        <v>16510078.791721586</v>
      </c>
      <c r="F64" s="48">
        <f>((1/(1+NSP!$G$8))^Data!A65)*C64</f>
        <v>25804.702943544507</v>
      </c>
      <c r="G64" s="48">
        <f t="shared" si="1"/>
        <v>825847.71966329555</v>
      </c>
    </row>
    <row r="65" spans="1:7" x14ac:dyDescent="0.25">
      <c r="A65" s="47">
        <v>61</v>
      </c>
      <c r="B65" s="48">
        <v>7542106</v>
      </c>
      <c r="C65" s="48">
        <v>167736</v>
      </c>
      <c r="D65" s="48">
        <f>(1/(1+NSP!$G$8)^Data!A65)*B65</f>
        <v>1242859.1811760818</v>
      </c>
      <c r="E65" s="48">
        <f t="shared" si="0"/>
        <v>15203354.991078371</v>
      </c>
      <c r="F65" s="48">
        <f>((1/(1+NSP!$G$8))^Data!A66)*C65</f>
        <v>26836.035052308227</v>
      </c>
      <c r="G65" s="48">
        <f t="shared" si="1"/>
        <v>800043.01671975106</v>
      </c>
    </row>
    <row r="66" spans="1:7" x14ac:dyDescent="0.25">
      <c r="A66" s="47">
        <v>62</v>
      </c>
      <c r="B66" s="48">
        <v>7374370</v>
      </c>
      <c r="C66" s="48">
        <v>179271</v>
      </c>
      <c r="D66" s="48">
        <f>(1/(1+NSP!$G$8)^Data!A66)*B66</f>
        <v>1179823.3641477711</v>
      </c>
      <c r="E66" s="48">
        <f t="shared" si="0"/>
        <v>13960495.80990229</v>
      </c>
      <c r="F66" s="48">
        <f>((1/(1+NSP!$G$8))^Data!A67)*C66</f>
        <v>27846.132456078398</v>
      </c>
      <c r="G66" s="48">
        <f t="shared" si="1"/>
        <v>773206.98166744271</v>
      </c>
    </row>
    <row r="67" spans="1:7" x14ac:dyDescent="0.25">
      <c r="A67" s="47">
        <v>63</v>
      </c>
      <c r="B67" s="48">
        <v>7195099</v>
      </c>
      <c r="C67" s="48">
        <v>191174</v>
      </c>
      <c r="D67" s="48">
        <f>(1/(1+NSP!$G$8)^Data!A67)*B67</f>
        <v>1117613.4443864175</v>
      </c>
      <c r="E67" s="48">
        <f t="shared" si="0"/>
        <v>12780672.445754519</v>
      </c>
      <c r="F67" s="48">
        <f>((1/(1+NSP!$G$8))^Data!A68)*C67</f>
        <v>28830.119731180592</v>
      </c>
      <c r="G67" s="48">
        <f t="shared" si="1"/>
        <v>745360.84921136429</v>
      </c>
    </row>
    <row r="68" spans="1:7" x14ac:dyDescent="0.25">
      <c r="A68" s="47">
        <v>64</v>
      </c>
      <c r="B68" s="48">
        <v>7003925</v>
      </c>
      <c r="C68" s="48">
        <v>203394</v>
      </c>
      <c r="D68" s="48">
        <f>(1/(1+NSP!$G$8)^Data!A68)*B68</f>
        <v>1056231.4767604871</v>
      </c>
      <c r="E68" s="48">
        <f t="shared" si="0"/>
        <v>11663059.001368102</v>
      </c>
      <c r="F68" s="48">
        <f>((1/(1+NSP!$G$8))^Data!A69)*C68</f>
        <v>29779.577475365277</v>
      </c>
      <c r="G68" s="48">
        <f t="shared" si="1"/>
        <v>716530.7294801838</v>
      </c>
    </row>
    <row r="69" spans="1:7" x14ac:dyDescent="0.25">
      <c r="A69" s="47">
        <v>65</v>
      </c>
      <c r="B69" s="48">
        <v>6800531</v>
      </c>
      <c r="C69" s="48">
        <v>215917</v>
      </c>
      <c r="D69" s="48">
        <f>(1/(1+NSP!$G$8)^Data!A69)*B69</f>
        <v>995687.87569015624</v>
      </c>
      <c r="E69" s="48">
        <f t="shared" si="0"/>
        <v>10606827.524607614</v>
      </c>
      <c r="F69" s="48">
        <f>((1/(1+NSP!$G$8))^Data!A70)*C69</f>
        <v>30692.340447405797</v>
      </c>
      <c r="G69" s="48">
        <f t="shared" si="1"/>
        <v>686751.15200481855</v>
      </c>
    </row>
    <row r="70" spans="1:7" x14ac:dyDescent="0.25">
      <c r="A70" s="47">
        <v>66</v>
      </c>
      <c r="B70" s="48">
        <v>6584614</v>
      </c>
      <c r="C70" s="48">
        <v>228749</v>
      </c>
      <c r="D70" s="48">
        <f>(1/(1+NSP!$G$8)^Data!A70)*B70</f>
        <v>935994.91750420223</v>
      </c>
      <c r="E70" s="48">
        <f t="shared" ref="E70:E103" si="2">SUM(D70:D168)</f>
        <v>9611139.6489174571</v>
      </c>
      <c r="F70" s="48">
        <f>((1/(1+NSP!$G$8))^Data!A71)*C70</f>
        <v>31569.314300985348</v>
      </c>
      <c r="G70" s="48">
        <f t="shared" ref="G70:G103" si="3">SUM(F70:F168)</f>
        <v>656058.8115574125</v>
      </c>
    </row>
    <row r="71" spans="1:7" x14ac:dyDescent="0.25">
      <c r="A71" s="47">
        <v>67</v>
      </c>
      <c r="B71" s="48">
        <v>6355865</v>
      </c>
      <c r="C71" s="48">
        <v>241777</v>
      </c>
      <c r="D71" s="48">
        <f>(1/(1+NSP!$G$8)^Data!A71)*B71</f>
        <v>877163.61531474476</v>
      </c>
      <c r="E71" s="48">
        <f t="shared" si="2"/>
        <v>8675144.7314132527</v>
      </c>
      <c r="F71" s="48">
        <f>((1/(1+NSP!$G$8))^Data!A72)*C71</f>
        <v>32395.42669017486</v>
      </c>
      <c r="G71" s="48">
        <f t="shared" si="3"/>
        <v>624489.49725642719</v>
      </c>
    </row>
    <row r="72" spans="1:7" x14ac:dyDescent="0.25">
      <c r="A72" s="47">
        <v>68</v>
      </c>
      <c r="B72" s="48">
        <v>6114088</v>
      </c>
      <c r="C72" s="48">
        <v>254835</v>
      </c>
      <c r="D72" s="48">
        <f>(1/(1+NSP!$G$8)^Data!A72)*B72</f>
        <v>819219.73380957742</v>
      </c>
      <c r="E72" s="48">
        <f t="shared" si="2"/>
        <v>7797981.116098511</v>
      </c>
      <c r="F72" s="48">
        <f>((1/(1+NSP!$G$8))^Data!A73)*C72</f>
        <v>33150.537220110724</v>
      </c>
      <c r="G72" s="48">
        <f t="shared" si="3"/>
        <v>592094.07056625234</v>
      </c>
    </row>
    <row r="73" spans="1:7" x14ac:dyDescent="0.25">
      <c r="A73" s="47">
        <v>69</v>
      </c>
      <c r="B73" s="48">
        <v>5859253</v>
      </c>
      <c r="C73" s="48">
        <v>267241</v>
      </c>
      <c r="D73" s="48">
        <f>(1/(1+NSP!$G$8)^Data!A73)*B73</f>
        <v>762208.42764355661</v>
      </c>
      <c r="E73" s="48">
        <f t="shared" si="2"/>
        <v>6978761.3822889319</v>
      </c>
      <c r="F73" s="48">
        <f>((1/(1+NSP!$G$8))^Data!A74)*C73</f>
        <v>33751.832633526275</v>
      </c>
      <c r="G73" s="48">
        <f t="shared" si="3"/>
        <v>558943.53334614146</v>
      </c>
    </row>
    <row r="74" spans="1:7" x14ac:dyDescent="0.25">
      <c r="A74" s="47">
        <v>70</v>
      </c>
      <c r="B74" s="48">
        <v>5592012</v>
      </c>
      <c r="C74" s="48">
        <v>278426</v>
      </c>
      <c r="D74" s="48">
        <f>(1/(1+NSP!$G$8)^Data!A74)*B74</f>
        <v>706256.34954468405</v>
      </c>
      <c r="E74" s="48">
        <f t="shared" si="2"/>
        <v>6216552.9546453767</v>
      </c>
      <c r="F74" s="48">
        <f>((1/(1+NSP!$G$8))^Data!A75)*C74</f>
        <v>34140.260775571318</v>
      </c>
      <c r="G74" s="48">
        <f t="shared" si="3"/>
        <v>525191.70071261527</v>
      </c>
    </row>
    <row r="75" spans="1:7" x14ac:dyDescent="0.25">
      <c r="A75" s="47">
        <v>71</v>
      </c>
      <c r="B75" s="48">
        <v>5313586</v>
      </c>
      <c r="C75" s="48">
        <v>287731</v>
      </c>
      <c r="D75" s="48">
        <f>(1/(1+NSP!$G$8)^Data!A75)*B75</f>
        <v>651545.51548140333</v>
      </c>
      <c r="E75" s="48">
        <f t="shared" si="2"/>
        <v>5510296.6051006913</v>
      </c>
      <c r="F75" s="48">
        <f>((1/(1+NSP!$G$8))^Data!A76)*C75</f>
        <v>34253.620066365824</v>
      </c>
      <c r="G75" s="48">
        <f t="shared" si="3"/>
        <v>491051.43993704399</v>
      </c>
    </row>
    <row r="76" spans="1:7" x14ac:dyDescent="0.25">
      <c r="A76" s="47">
        <v>72</v>
      </c>
      <c r="B76" s="48">
        <v>5025855</v>
      </c>
      <c r="C76" s="48">
        <v>294766</v>
      </c>
      <c r="D76" s="48">
        <f>(1/(1+NSP!$G$8)^Data!A76)*B76</f>
        <v>598314.84156606451</v>
      </c>
      <c r="E76" s="48">
        <f t="shared" si="2"/>
        <v>4858751.0896192892</v>
      </c>
      <c r="F76" s="48">
        <f>((1/(1+NSP!$G$8))^Data!A77)*C76</f>
        <v>34069.04693674876</v>
      </c>
      <c r="G76" s="48">
        <f t="shared" si="3"/>
        <v>456797.81987067818</v>
      </c>
    </row>
    <row r="77" spans="1:7" x14ac:dyDescent="0.25">
      <c r="A77" s="47">
        <v>73</v>
      </c>
      <c r="B77" s="48">
        <v>4731089</v>
      </c>
      <c r="C77" s="48">
        <v>299289</v>
      </c>
      <c r="D77" s="48">
        <f>(1/(1+NSP!$G$8)^Data!A77)*B77</f>
        <v>546819.14875845949</v>
      </c>
      <c r="E77" s="48">
        <f t="shared" si="2"/>
        <v>4260436.2480532257</v>
      </c>
      <c r="F77" s="48">
        <f>((1/(1+NSP!$G$8))^Data!A78)*C77</f>
        <v>33584.286567059382</v>
      </c>
      <c r="G77" s="48">
        <f t="shared" si="3"/>
        <v>422728.77293392952</v>
      </c>
    </row>
    <row r="78" spans="1:7" x14ac:dyDescent="0.25">
      <c r="A78" s="47">
        <v>74</v>
      </c>
      <c r="B78" s="48">
        <v>4431800</v>
      </c>
      <c r="C78" s="48">
        <v>301894</v>
      </c>
      <c r="D78" s="48">
        <f>(1/(1+NSP!$G$8)^Data!A78)*B78</f>
        <v>497308.09086833813</v>
      </c>
      <c r="E78" s="48">
        <f t="shared" si="2"/>
        <v>3713617.0992947659</v>
      </c>
      <c r="F78" s="48">
        <f>((1/(1+NSP!$G$8))^Data!A79)*C78</f>
        <v>32889.905739631489</v>
      </c>
      <c r="G78" s="48">
        <f t="shared" si="3"/>
        <v>389144.48636687011</v>
      </c>
    </row>
    <row r="79" spans="1:7" x14ac:dyDescent="0.25">
      <c r="A79" s="47">
        <v>75</v>
      </c>
      <c r="B79" s="48">
        <v>4129906</v>
      </c>
      <c r="C79" s="48">
        <v>303011</v>
      </c>
      <c r="D79" s="48">
        <f>(1/(1+NSP!$G$8)^Data!A79)*B79</f>
        <v>449933.48345292971</v>
      </c>
      <c r="E79" s="48">
        <f t="shared" si="2"/>
        <v>3216309.0084264274</v>
      </c>
      <c r="F79" s="48">
        <f>((1/(1+NSP!$G$8))^Data!A80)*C79</f>
        <v>32050.09470009269</v>
      </c>
      <c r="G79" s="48">
        <f t="shared" si="3"/>
        <v>356254.58062723861</v>
      </c>
    </row>
    <row r="80" spans="1:7" x14ac:dyDescent="0.25">
      <c r="A80" s="47">
        <v>76</v>
      </c>
      <c r="B80" s="48">
        <v>3826895</v>
      </c>
      <c r="C80" s="48">
        <v>303014</v>
      </c>
      <c r="D80" s="48">
        <f>(1/(1+NSP!$G$8)^Data!A80)*B80</f>
        <v>404778.53001148952</v>
      </c>
      <c r="E80" s="48">
        <f t="shared" si="2"/>
        <v>2766375.5249734977</v>
      </c>
      <c r="F80" s="48">
        <f>((1/(1+NSP!$G$8))^Data!A81)*C80</f>
        <v>31116.904870139089</v>
      </c>
      <c r="G80" s="48">
        <f t="shared" si="3"/>
        <v>324204.48592714599</v>
      </c>
    </row>
    <row r="81" spans="1:7" x14ac:dyDescent="0.25">
      <c r="A81" s="47">
        <v>77</v>
      </c>
      <c r="B81" s="48">
        <v>3523881</v>
      </c>
      <c r="C81" s="48">
        <v>301997</v>
      </c>
      <c r="D81" s="48">
        <f>(1/(1+NSP!$G$8)^Data!A81)*B81</f>
        <v>361871.95921868569</v>
      </c>
      <c r="E81" s="48">
        <f t="shared" si="2"/>
        <v>2361596.9949620077</v>
      </c>
      <c r="F81" s="48">
        <f>((1/(1+NSP!$G$8))^Data!A82)*C81</f>
        <v>30109.192045621763</v>
      </c>
      <c r="G81" s="48">
        <f t="shared" si="3"/>
        <v>293087.5810570069</v>
      </c>
    </row>
    <row r="82" spans="1:7" x14ac:dyDescent="0.25">
      <c r="A82" s="47">
        <v>78</v>
      </c>
      <c r="B82" s="48">
        <v>3221884</v>
      </c>
      <c r="C82" s="48">
        <v>299829</v>
      </c>
      <c r="D82" s="48">
        <f>(1/(1+NSP!$G$8)^Data!A82)*B82</f>
        <v>321222.8071958205</v>
      </c>
      <c r="E82" s="48">
        <f t="shared" si="2"/>
        <v>1999725.0357433225</v>
      </c>
      <c r="F82" s="48">
        <f>((1/(1+NSP!$G$8))^Data!A83)*C82</f>
        <v>29022.370671163451</v>
      </c>
      <c r="G82" s="48">
        <f t="shared" si="3"/>
        <v>262978.38901138521</v>
      </c>
    </row>
    <row r="83" spans="1:7" x14ac:dyDescent="0.25">
      <c r="A83" s="47">
        <v>79</v>
      </c>
      <c r="B83" s="48">
        <v>2922055</v>
      </c>
      <c r="C83" s="48">
        <v>295683</v>
      </c>
      <c r="D83" s="48">
        <f>(1/(1+NSP!$G$8)^Data!A83)*B83</f>
        <v>282844.43243157491</v>
      </c>
      <c r="E83" s="48">
        <f t="shared" si="2"/>
        <v>1678502.2285475016</v>
      </c>
      <c r="F83" s="48">
        <f>((1/(1+NSP!$G$8))^Data!A84)*C83</f>
        <v>27787.42986143403</v>
      </c>
      <c r="G83" s="48">
        <f t="shared" si="3"/>
        <v>233956.01834022172</v>
      </c>
    </row>
    <row r="84" spans="1:7" x14ac:dyDescent="0.25">
      <c r="A84" s="47">
        <v>80</v>
      </c>
      <c r="B84" s="48">
        <v>2626372</v>
      </c>
      <c r="C84" s="48">
        <v>288848</v>
      </c>
      <c r="D84" s="48">
        <f>(1/(1+NSP!$G$8)^Data!A84)*B84</f>
        <v>246818.81521776484</v>
      </c>
      <c r="E84" s="48">
        <f t="shared" si="2"/>
        <v>1395657.7961159272</v>
      </c>
      <c r="F84" s="48">
        <f>((1/(1+NSP!$G$8))^Data!A85)*C84</f>
        <v>26354.462530097739</v>
      </c>
      <c r="G84" s="48">
        <f t="shared" si="3"/>
        <v>206168.58847878769</v>
      </c>
    </row>
    <row r="85" spans="1:7" x14ac:dyDescent="0.25">
      <c r="A85" s="47">
        <v>81</v>
      </c>
      <c r="B85" s="48">
        <v>2337524</v>
      </c>
      <c r="C85" s="48">
        <v>278983</v>
      </c>
      <c r="D85" s="48">
        <f>(1/(1+NSP!$G$8)^Data!A85)*B85</f>
        <v>213275.45515705255</v>
      </c>
      <c r="E85" s="48">
        <f t="shared" si="2"/>
        <v>1148838.9808981619</v>
      </c>
      <c r="F85" s="48">
        <f>((1/(1+NSP!$G$8))^Data!A86)*C85</f>
        <v>24712.99118464785</v>
      </c>
      <c r="G85" s="48">
        <f t="shared" si="3"/>
        <v>179814.12594868994</v>
      </c>
    </row>
    <row r="86" spans="1:7" x14ac:dyDescent="0.25">
      <c r="A86" s="47">
        <v>82</v>
      </c>
      <c r="B86" s="48">
        <v>2058541</v>
      </c>
      <c r="C86" s="48">
        <v>265902</v>
      </c>
      <c r="D86" s="48">
        <f>(1/(1+NSP!$G$8)^Data!A86)*B86</f>
        <v>182350.55751151961</v>
      </c>
      <c r="E86" s="48">
        <f t="shared" si="2"/>
        <v>935563.52574110939</v>
      </c>
      <c r="F86" s="48">
        <f>((1/(1+NSP!$G$8))^Data!A87)*C86</f>
        <v>22868.198504144624</v>
      </c>
      <c r="G86" s="48">
        <f t="shared" si="3"/>
        <v>155101.13476404207</v>
      </c>
    </row>
    <row r="87" spans="1:7" x14ac:dyDescent="0.25">
      <c r="A87" s="47">
        <v>83</v>
      </c>
      <c r="B87" s="48">
        <v>1792639</v>
      </c>
      <c r="C87" s="48">
        <v>249858</v>
      </c>
      <c r="D87" s="48">
        <f>(1/(1+NSP!$G$8)^Data!A87)*B87</f>
        <v>154171.17772063168</v>
      </c>
      <c r="E87" s="48">
        <f t="shared" si="2"/>
        <v>753212.96822958975</v>
      </c>
      <c r="F87" s="48">
        <f>((1/(1+NSP!$G$8))^Data!A88)*C87</f>
        <v>20862.501652549003</v>
      </c>
      <c r="G87" s="48">
        <f t="shared" si="3"/>
        <v>132232.93625989743</v>
      </c>
    </row>
    <row r="88" spans="1:7" x14ac:dyDescent="0.25">
      <c r="A88" s="47">
        <v>84</v>
      </c>
      <c r="B88" s="48">
        <v>1542781</v>
      </c>
      <c r="C88" s="48">
        <v>231433</v>
      </c>
      <c r="D88" s="48">
        <f>(1/(1+NSP!$G$8)^Data!A88)*B88</f>
        <v>128818.25341602537</v>
      </c>
      <c r="E88" s="48">
        <f t="shared" si="2"/>
        <v>599041.79050895805</v>
      </c>
      <c r="F88" s="48">
        <f>((1/(1+NSP!$G$8))^Data!A89)*C88</f>
        <v>18761.22470555265</v>
      </c>
      <c r="G88" s="48">
        <f t="shared" si="3"/>
        <v>111370.43460734843</v>
      </c>
    </row>
    <row r="89" spans="1:7" x14ac:dyDescent="0.25">
      <c r="A89" s="47">
        <v>85</v>
      </c>
      <c r="B89" s="48">
        <v>1311348</v>
      </c>
      <c r="C89" s="48">
        <v>211311</v>
      </c>
      <c r="D89" s="48">
        <f>(1/(1+NSP!$G$8)^Data!A89)*B89</f>
        <v>106305.04074689916</v>
      </c>
      <c r="E89" s="48">
        <f t="shared" si="2"/>
        <v>470223.53709293279</v>
      </c>
      <c r="F89" s="48">
        <f>((1/(1+NSP!$G$8))^Data!A90)*C89</f>
        <v>16631.09255993037</v>
      </c>
      <c r="G89" s="48">
        <f t="shared" si="3"/>
        <v>92609.209901795781</v>
      </c>
    </row>
    <row r="90" spans="1:7" x14ac:dyDescent="0.25">
      <c r="A90" s="47">
        <v>86</v>
      </c>
      <c r="B90" s="48">
        <v>1100037</v>
      </c>
      <c r="C90" s="48">
        <v>190108</v>
      </c>
      <c r="D90" s="48">
        <f>(1/(1+NSP!$G$8)^Data!A90)*B90</f>
        <v>86577.684864243522</v>
      </c>
      <c r="E90" s="48">
        <f t="shared" si="2"/>
        <v>363918.49634603353</v>
      </c>
      <c r="F90" s="48">
        <f>((1/(1+NSP!$G$8))^Data!A91)*C90</f>
        <v>14526.528603853909</v>
      </c>
      <c r="G90" s="48">
        <f t="shared" si="3"/>
        <v>75978.117341865436</v>
      </c>
    </row>
    <row r="91" spans="1:7" x14ac:dyDescent="0.25">
      <c r="A91" s="47">
        <v>87</v>
      </c>
      <c r="B91" s="48">
        <v>909929</v>
      </c>
      <c r="C91" s="48">
        <v>168455</v>
      </c>
      <c r="D91" s="48">
        <f>(1/(1+NSP!$G$8)^Data!A91)*B91</f>
        <v>69529.47611871257</v>
      </c>
      <c r="E91" s="48">
        <f t="shared" si="2"/>
        <v>277340.81148178998</v>
      </c>
      <c r="F91" s="48">
        <f>((1/(1+NSP!$G$8))^Data!A92)*C91</f>
        <v>12497.067972003091</v>
      </c>
      <c r="G91" s="48">
        <f t="shared" si="3"/>
        <v>61451.588738011524</v>
      </c>
    </row>
    <row r="92" spans="1:7" x14ac:dyDescent="0.25">
      <c r="A92" s="47">
        <v>88</v>
      </c>
      <c r="B92" s="48">
        <v>741474</v>
      </c>
      <c r="C92" s="48">
        <v>146997</v>
      </c>
      <c r="D92" s="48">
        <f>(1/(1+NSP!$G$8)^Data!A92)*B92</f>
        <v>55007.277774319788</v>
      </c>
      <c r="E92" s="48">
        <f t="shared" si="2"/>
        <v>207811.33536307741</v>
      </c>
      <c r="F92" s="48">
        <f>((1/(1+NSP!$G$8))^Data!A93)*C92</f>
        <v>10587.549961806159</v>
      </c>
      <c r="G92" s="48">
        <f t="shared" si="3"/>
        <v>48954.520766008434</v>
      </c>
    </row>
    <row r="93" spans="1:7" x14ac:dyDescent="0.25">
      <c r="A93" s="47">
        <v>89</v>
      </c>
      <c r="B93" s="48">
        <v>594477</v>
      </c>
      <c r="C93" s="48">
        <v>126303</v>
      </c>
      <c r="D93" s="48">
        <f>(1/(1+NSP!$G$8)^Data!A93)*B93</f>
        <v>42817.574090931477</v>
      </c>
      <c r="E93" s="48">
        <f t="shared" si="2"/>
        <v>152804.05758875763</v>
      </c>
      <c r="F93" s="48">
        <f>((1/(1+NSP!$G$8))^Data!A94)*C93</f>
        <v>8832.0891221279344</v>
      </c>
      <c r="G93" s="48">
        <f t="shared" si="3"/>
        <v>38366.970804202268</v>
      </c>
    </row>
    <row r="94" spans="1:7" x14ac:dyDescent="0.25">
      <c r="A94" s="47">
        <v>90</v>
      </c>
      <c r="B94" s="48">
        <v>468174</v>
      </c>
      <c r="C94" s="48">
        <v>106809</v>
      </c>
      <c r="D94" s="48">
        <f>(1/(1+NSP!$G$8)^Data!A94)*B94</f>
        <v>32738.371160329782</v>
      </c>
      <c r="E94" s="48">
        <f t="shared" si="2"/>
        <v>109986.48349782615</v>
      </c>
      <c r="F94" s="48">
        <f>((1/(1+NSP!$G$8))^Data!A95)*C94</f>
        <v>7251.3755989727169</v>
      </c>
      <c r="G94" s="48">
        <f t="shared" si="3"/>
        <v>29534.881682074334</v>
      </c>
    </row>
    <row r="95" spans="1:7" x14ac:dyDescent="0.25">
      <c r="A95" s="47">
        <v>91</v>
      </c>
      <c r="B95" s="48">
        <v>361365</v>
      </c>
      <c r="C95" s="48">
        <v>88813</v>
      </c>
      <c r="D95" s="48">
        <f>(1/(1+NSP!$G$8)^Data!A95)*B95</f>
        <v>24533.450770279487</v>
      </c>
      <c r="E95" s="48">
        <f t="shared" si="2"/>
        <v>77248.112337496364</v>
      </c>
      <c r="F95" s="48">
        <f>((1/(1+NSP!$G$8))^Data!A96)*C95</f>
        <v>5853.9885331248133</v>
      </c>
      <c r="G95" s="48">
        <f t="shared" si="3"/>
        <v>22283.506083101616</v>
      </c>
    </row>
    <row r="96" spans="1:7" x14ac:dyDescent="0.25">
      <c r="A96" s="47">
        <v>92</v>
      </c>
      <c r="B96" s="48">
        <v>272552</v>
      </c>
      <c r="C96" s="48">
        <v>72480</v>
      </c>
      <c r="D96" s="48">
        <f>(1/(1+NSP!$G$8)^Data!A96)*B96</f>
        <v>17964.89570986497</v>
      </c>
      <c r="E96" s="48">
        <f t="shared" si="2"/>
        <v>52714.661567216899</v>
      </c>
      <c r="F96" s="48">
        <f>((1/(1+NSP!$G$8))^Data!A97)*C96</f>
        <v>4638.2727893842011</v>
      </c>
      <c r="G96" s="48">
        <f t="shared" si="3"/>
        <v>16429.517549976805</v>
      </c>
    </row>
    <row r="97" spans="1:7" x14ac:dyDescent="0.25">
      <c r="A97" s="47">
        <v>93</v>
      </c>
      <c r="B97" s="48">
        <v>200072</v>
      </c>
      <c r="C97" s="48">
        <v>57881</v>
      </c>
      <c r="D97" s="48">
        <f>(1/(1+NSP!$G$8)^Data!A97)*B97</f>
        <v>12803.373530873041</v>
      </c>
      <c r="E97" s="48">
        <f t="shared" si="2"/>
        <v>34749.765857351929</v>
      </c>
      <c r="F97" s="48">
        <f>((1/(1+NSP!$G$8))^Data!A98)*C97</f>
        <v>3596.1425893496826</v>
      </c>
      <c r="G97" s="48">
        <f t="shared" si="3"/>
        <v>11791.244760592603</v>
      </c>
    </row>
    <row r="98" spans="1:7" x14ac:dyDescent="0.25">
      <c r="A98" s="47">
        <v>94</v>
      </c>
      <c r="B98" s="48">
        <v>142191</v>
      </c>
      <c r="C98" s="48">
        <v>45026</v>
      </c>
      <c r="D98" s="48">
        <f>(1/(1+NSP!$G$8)^Data!A98)*B98</f>
        <v>8834.3171493619993</v>
      </c>
      <c r="E98" s="48">
        <f t="shared" si="2"/>
        <v>21946.392326478883</v>
      </c>
      <c r="F98" s="48">
        <f>((1/(1+NSP!$G$8))^Data!A99)*C98</f>
        <v>2715.982829653321</v>
      </c>
      <c r="G98" s="48">
        <f t="shared" si="3"/>
        <v>8195.102171242921</v>
      </c>
    </row>
    <row r="99" spans="1:7" x14ac:dyDescent="0.25">
      <c r="A99" s="47">
        <v>95</v>
      </c>
      <c r="B99" s="48">
        <v>97165</v>
      </c>
      <c r="C99" s="48">
        <v>34128</v>
      </c>
      <c r="D99" s="48">
        <f>(1/(1+NSP!$G$8)^Data!A99)*B99</f>
        <v>5861.024111474826</v>
      </c>
      <c r="E99" s="48">
        <f t="shared" si="2"/>
        <v>13112.075177116883</v>
      </c>
      <c r="F99" s="48">
        <f>((1/(1+NSP!$G$8))^Data!A100)*C99</f>
        <v>1998.6523861813723</v>
      </c>
      <c r="G99" s="48">
        <f t="shared" si="3"/>
        <v>5479.1193415896005</v>
      </c>
    </row>
    <row r="100" spans="1:7" x14ac:dyDescent="0.25">
      <c r="A100" s="47">
        <v>96</v>
      </c>
      <c r="B100" s="48">
        <v>63037</v>
      </c>
      <c r="C100" s="48">
        <v>25250</v>
      </c>
      <c r="D100" s="48">
        <f>(1/(1+NSP!$G$8)^Data!A100)*B100</f>
        <v>3691.6622851534066</v>
      </c>
      <c r="E100" s="48">
        <f t="shared" si="2"/>
        <v>7251.0510656420583</v>
      </c>
      <c r="F100" s="48">
        <f>((1/(1+NSP!$G$8))^Data!A101)*C100</f>
        <v>1435.6566470227347</v>
      </c>
      <c r="G100" s="48">
        <f t="shared" si="3"/>
        <v>3480.4669554082279</v>
      </c>
    </row>
    <row r="101" spans="1:7" x14ac:dyDescent="0.25">
      <c r="A101" s="47">
        <v>97</v>
      </c>
      <c r="B101" s="48">
        <v>37787</v>
      </c>
      <c r="C101" s="48">
        <v>18456</v>
      </c>
      <c r="D101" s="48">
        <f>(1/(1+NSP!$G$8)^Data!A101)*B101</f>
        <v>2148.4814939028993</v>
      </c>
      <c r="E101" s="48">
        <f t="shared" si="2"/>
        <v>3559.3887804886513</v>
      </c>
      <c r="F101" s="48">
        <f>((1/(1+NSP!$G$8))^Data!A102)*C101</f>
        <v>1018.8014640950338</v>
      </c>
      <c r="G101" s="48">
        <f t="shared" si="3"/>
        <v>2044.810308385493</v>
      </c>
    </row>
    <row r="102" spans="1:7" x14ac:dyDescent="0.25">
      <c r="A102" s="47">
        <v>98</v>
      </c>
      <c r="B102" s="48">
        <v>19331</v>
      </c>
      <c r="C102" s="48">
        <v>12916</v>
      </c>
      <c r="D102" s="48">
        <f>(1/(1+NSP!$G$8)^Data!A102)*B102</f>
        <v>1067.1028989174874</v>
      </c>
      <c r="E102" s="48">
        <f t="shared" si="2"/>
        <v>1410.907286585752</v>
      </c>
      <c r="F102" s="48">
        <f>((1/(1+NSP!$G$8))^Data!A103)*C102</f>
        <v>692.21784429045931</v>
      </c>
      <c r="G102" s="48">
        <f t="shared" si="3"/>
        <v>1026.0088442904594</v>
      </c>
    </row>
    <row r="103" spans="1:7" x14ac:dyDescent="0.25">
      <c r="A103" s="47">
        <v>99</v>
      </c>
      <c r="B103" s="48">
        <v>6415</v>
      </c>
      <c r="C103" s="48">
        <v>6415</v>
      </c>
      <c r="D103" s="48">
        <f>(1/(1+NSP!$G$8)^Data!A103)*B103</f>
        <v>343.80438766826467</v>
      </c>
      <c r="E103" s="48">
        <f t="shared" si="2"/>
        <v>343.80438766826467</v>
      </c>
      <c r="F103" s="48">
        <v>333.791</v>
      </c>
      <c r="G103" s="48">
        <f t="shared" si="3"/>
        <v>333.791</v>
      </c>
    </row>
  </sheetData>
  <sheetProtection sheet="1" objects="1" scenarios="1" selectLockedCells="1"/>
  <dataValidations count="1">
    <dataValidation type="list" allowBlank="1" showInputMessage="1" showErrorMessage="1" sqref="K5">
      <formula1>$A$5:$A$103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F20"/>
  <sheetViews>
    <sheetView showGridLines="0" workbookViewId="0">
      <selection activeCell="E29" sqref="E29"/>
    </sheetView>
  </sheetViews>
  <sheetFormatPr defaultRowHeight="15" x14ac:dyDescent="0.25"/>
  <cols>
    <col min="1" max="64" width="4.7109375" style="4" customWidth="1"/>
    <col min="65" max="16384" width="9.140625" style="4"/>
  </cols>
  <sheetData>
    <row r="2" spans="2:32" x14ac:dyDescent="0.25">
      <c r="B2" s="49"/>
      <c r="C2" s="50"/>
      <c r="D2" s="50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2"/>
    </row>
    <row r="3" spans="2:32" ht="18.75" x14ac:dyDescent="0.25">
      <c r="B3" s="53"/>
      <c r="C3" s="54"/>
      <c r="D3" s="55" t="s">
        <v>27</v>
      </c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6"/>
      <c r="AB3" s="56"/>
      <c r="AC3" s="56"/>
      <c r="AD3" s="56"/>
      <c r="AE3" s="56"/>
      <c r="AF3" s="57"/>
    </row>
    <row r="4" spans="2:32" ht="18.75" x14ac:dyDescent="0.25">
      <c r="B4" s="53"/>
      <c r="C4" s="58" t="s">
        <v>28</v>
      </c>
      <c r="D4" s="54" t="s">
        <v>29</v>
      </c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7"/>
    </row>
    <row r="5" spans="2:32" x14ac:dyDescent="0.25">
      <c r="B5" s="53"/>
      <c r="C5" s="58" t="s">
        <v>28</v>
      </c>
      <c r="D5" s="54" t="s">
        <v>30</v>
      </c>
      <c r="E5" s="59"/>
      <c r="F5" s="59"/>
      <c r="G5" s="59"/>
      <c r="H5" s="59"/>
      <c r="I5" s="59"/>
      <c r="J5" s="59"/>
      <c r="K5" s="59"/>
      <c r="L5" s="59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60"/>
    </row>
    <row r="6" spans="2:32" x14ac:dyDescent="0.25">
      <c r="B6" s="53"/>
      <c r="C6" s="58" t="s">
        <v>31</v>
      </c>
      <c r="D6" s="54" t="s">
        <v>32</v>
      </c>
      <c r="E6" s="59"/>
      <c r="F6" s="59"/>
      <c r="G6" s="59"/>
      <c r="H6" s="59"/>
      <c r="I6" s="59"/>
      <c r="J6" s="59"/>
      <c r="K6" s="59"/>
      <c r="L6" s="59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60"/>
    </row>
    <row r="7" spans="2:32" x14ac:dyDescent="0.25">
      <c r="B7" s="53"/>
      <c r="C7" s="54"/>
      <c r="D7" s="61" t="s">
        <v>33</v>
      </c>
      <c r="E7" s="59"/>
      <c r="F7" s="59"/>
      <c r="G7" s="59"/>
      <c r="H7" s="59"/>
      <c r="I7" s="59"/>
      <c r="J7" s="59"/>
      <c r="K7" s="59"/>
      <c r="L7" s="59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60"/>
    </row>
    <row r="8" spans="2:32" x14ac:dyDescent="0.25">
      <c r="B8" s="53"/>
      <c r="C8" s="54"/>
      <c r="D8" s="54" t="s">
        <v>34</v>
      </c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60"/>
    </row>
    <row r="9" spans="2:32" x14ac:dyDescent="0.25">
      <c r="B9" s="53"/>
      <c r="C9" s="58" t="s">
        <v>35</v>
      </c>
      <c r="D9" s="54" t="s">
        <v>32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0"/>
    </row>
    <row r="10" spans="2:32" x14ac:dyDescent="0.25">
      <c r="B10" s="53"/>
      <c r="C10" s="54"/>
      <c r="D10" s="61" t="s">
        <v>36</v>
      </c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0"/>
    </row>
    <row r="11" spans="2:32" x14ac:dyDescent="0.25">
      <c r="B11" s="53"/>
      <c r="C11" s="54"/>
      <c r="D11" s="54" t="s">
        <v>37</v>
      </c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0"/>
    </row>
    <row r="12" spans="2:32" x14ac:dyDescent="0.25">
      <c r="B12" s="53"/>
      <c r="C12" s="58" t="s">
        <v>38</v>
      </c>
      <c r="D12" s="54" t="s">
        <v>39</v>
      </c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0"/>
    </row>
    <row r="13" spans="2:32" x14ac:dyDescent="0.25">
      <c r="B13" s="53"/>
      <c r="C13" s="54"/>
      <c r="D13" s="54" t="s">
        <v>40</v>
      </c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0"/>
    </row>
    <row r="14" spans="2:32" x14ac:dyDescent="0.25">
      <c r="B14" s="53"/>
      <c r="C14" s="58" t="s">
        <v>28</v>
      </c>
      <c r="D14" s="54" t="s">
        <v>41</v>
      </c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0"/>
    </row>
    <row r="15" spans="2:32" x14ac:dyDescent="0.25">
      <c r="B15" s="53"/>
      <c r="C15" s="58"/>
      <c r="D15" s="61" t="s">
        <v>42</v>
      </c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0"/>
    </row>
    <row r="16" spans="2:32" x14ac:dyDescent="0.25">
      <c r="B16" s="53"/>
      <c r="C16" s="58" t="s">
        <v>28</v>
      </c>
      <c r="D16" s="54" t="s">
        <v>43</v>
      </c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0"/>
    </row>
    <row r="17" spans="2:32" x14ac:dyDescent="0.25">
      <c r="B17" s="53"/>
      <c r="C17" s="58"/>
      <c r="D17" s="61" t="s">
        <v>44</v>
      </c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0"/>
    </row>
    <row r="18" spans="2:32" ht="15.75" thickBot="1" x14ac:dyDescent="0.3"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4"/>
    </row>
    <row r="19" spans="2:32" ht="15.75" thickTop="1" x14ac:dyDescent="0.25"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</row>
    <row r="20" spans="2:32" x14ac:dyDescent="0.25">
      <c r="B20" s="65"/>
      <c r="C20" s="65"/>
      <c r="D20" s="4" t="s">
        <v>45</v>
      </c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</row>
  </sheetData>
  <mergeCells count="1">
    <mergeCell ref="D3:Z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gate</vt:lpstr>
      <vt:lpstr>NSP</vt:lpstr>
      <vt:lpstr>Data</vt:lpstr>
      <vt:lpstr>Readme</vt:lpstr>
      <vt:lpstr>params</vt:lpstr>
      <vt:lpstr>NSP!Print_Area</vt:lpstr>
      <vt:lpstr>returns</vt:lpstr>
      <vt:lpstr>runMacro</vt:lpstr>
      <vt:lpstr>set_maxSetting</vt:lpstr>
      <vt:lpstr>set_sheetname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Maulana Almatien</cp:lastModifiedBy>
  <dcterms:modified xsi:type="dcterms:W3CDTF">2013-09-18T21:26:10Z</dcterms:modified>
</cp:coreProperties>
</file>