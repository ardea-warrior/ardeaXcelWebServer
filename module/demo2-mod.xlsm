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600" yWindow="630" windowWidth="16635" windowHeight="10230"/>
  </bookViews>
  <sheets>
    <sheet name="Lifetime Savings" sheetId="3" r:id="rId1"/>
    <sheet name="Readme" sheetId="4" r:id="rId2"/>
    <sheet name="gate" sheetId="2" r:id="rId3"/>
  </sheets>
  <functionGroups builtInGroupCount="17"/>
  <externalReferences>
    <externalReference r:id="rId4"/>
    <externalReference r:id="rId5"/>
    <externalReference r:id="rId6"/>
  </externalReferences>
  <definedNames>
    <definedName name="\a">#REF!</definedName>
    <definedName name="_Fill" hidden="1">#REF!</definedName>
    <definedName name="_Key1" hidden="1">#REF!</definedName>
    <definedName name="_Order1" hidden="1">255</definedName>
    <definedName name="_Sort" hidden="1">#REF!</definedName>
    <definedName name="aa">[1]Input_Asm_Syar!#REF!</definedName>
    <definedName name="abc">#REF!</definedName>
    <definedName name="Age">'Lifetime Savings'!$N$6</definedName>
    <definedName name="Aktetap">#REF!</definedName>
    <definedName name="aktiva">'[2]Sandi laba rugi'!#REF!</definedName>
    <definedName name="Aktlain">#REF!</definedName>
    <definedName name="Aktprod">#REF!</definedName>
    <definedName name="Asumsi_Sr1">#REF!</definedName>
    <definedName name="Asumsi_Sr10">#REF!</definedName>
    <definedName name="Asumsi_Sr11">#REF!</definedName>
    <definedName name="Asumsi_Sr12">#REF!</definedName>
    <definedName name="Asumsi_Sr13">#REF!</definedName>
    <definedName name="Asumsi_Sr14">#REF!</definedName>
    <definedName name="Asumsi_Sr15">#REF!</definedName>
    <definedName name="Asumsi_Sr16">#REF!</definedName>
    <definedName name="Asumsi_Sr2">#REF!</definedName>
    <definedName name="Asumsi_Sr3">#REF!</definedName>
    <definedName name="Asumsi_Sr4">#REF!</definedName>
    <definedName name="Asumsi_Sr5">#REF!</definedName>
    <definedName name="Asumsi_Sr6">#REF!</definedName>
    <definedName name="Asumsi_Sr7">#REF!</definedName>
    <definedName name="Asumsi_Sr8">#REF!</definedName>
    <definedName name="Asumsi_Sr9">#REF!</definedName>
    <definedName name="Control">'Lifetime Savings'!$AJ$7</definedName>
    <definedName name="Deropen">#REF!</definedName>
    <definedName name="EA">#REF!</definedName>
    <definedName name="EAM">#REF!</definedName>
    <definedName name="Ekuitas">#REF!</definedName>
    <definedName name="Fee">#REF!</definedName>
    <definedName name="FPrice">'Lifetime Savings'!$N$10</definedName>
    <definedName name="Frequency">'Lifetime Savings'!$R$12</definedName>
    <definedName name="Indic">#REF!</definedName>
    <definedName name="InterestRate">'Lifetime Savings'!$J$34</definedName>
    <definedName name="KAP">#REF!</definedName>
    <definedName name="Kas">#REF!</definedName>
    <definedName name="Kredit">#REF!</definedName>
    <definedName name="Kredit_B">#REF!</definedName>
    <definedName name="L_Frequency">'Lifetime Savings'!$AG$6:$AG$16</definedName>
    <definedName name="LRSyr">[3]Input_Asm_Syar!#REF!</definedName>
    <definedName name="Macro_Sr1">#REF!</definedName>
    <definedName name="Macro2">[3]Input_Asm!#REF!</definedName>
    <definedName name="Menu">#REF!</definedName>
    <definedName name="menu_makro">#REF!</definedName>
    <definedName name="MenuRange">#REF!</definedName>
    <definedName name="MenuRange_Syar">#REF!</definedName>
    <definedName name="NRS">[1]Input_Asm_Syar!#REF!</definedName>
    <definedName name="NRSyr">[3]Input_Asm_Syar!#REF!</definedName>
    <definedName name="OFF">#REF!</definedName>
    <definedName name="params">gate!$C$3</definedName>
    <definedName name="pasiva">'[2]Sandi laba rugi'!#REF!</definedName>
    <definedName name="Per_EA">#REF!</definedName>
    <definedName name="Per_TPF">#REF!</definedName>
    <definedName name="Pinj">#REF!</definedName>
    <definedName name="PJK">#REF!</definedName>
    <definedName name="PNO">#REF!</definedName>
    <definedName name="POL">#REF!</definedName>
    <definedName name="Print_Area_BB">#REF!</definedName>
    <definedName name="Print_Area_MI">#REF!</definedName>
    <definedName name="PSW_CALCULATE_0" hidden="1">'Lifetime Savings'!$X$12</definedName>
    <definedName name="PSWInput_0_0" hidden="1">'Lifetime Savings'!$N$6</definedName>
    <definedName name="PSWInput_0_1" hidden="1">'Lifetime Savings'!$N$7</definedName>
    <definedName name="PSWInput_0_2" hidden="1">'Lifetime Savings'!$N$8</definedName>
    <definedName name="PSWInput_0_3" hidden="1">'Lifetime Savings'!$N$10</definedName>
    <definedName name="PSWInput_0_4" hidden="1">'Lifetime Savings'!$N$11</definedName>
    <definedName name="PSWInput_0_5" hidden="1">'Lifetime Savings'!$N$12</definedName>
    <definedName name="PSWInput_0_6" hidden="1">'Lifetime Savings'!$R$12</definedName>
    <definedName name="PSWInput_0_7" hidden="1">'Lifetime Savings'!$J$34</definedName>
    <definedName name="PSWList_0_6" hidden="1">'Lifetime Savings'!$AG$6:$AG$16</definedName>
    <definedName name="PSWOutput_0" hidden="1">'Lifetime Savings'!$A$2:$AB$40</definedName>
    <definedName name="PSWSeries_0_0_Labels" hidden="1">'Lifetime Savings'!$AN$11</definedName>
    <definedName name="PSWSeries_0_0_Values" hidden="1">'Lifetime Savings'!$AN$12</definedName>
    <definedName name="PSWSeries_0_1_Labels" hidden="1">'Lifetime Savings'!$AN$11</definedName>
    <definedName name="PSWSeries_0_1_Values" hidden="1">'Lifetime Savings'!$AN$13</definedName>
    <definedName name="QFrequency">'Lifetime Savings'!$AG$6:$AH$16</definedName>
    <definedName name="QIndiff">'Lifetime Savings'!$AJ$13</definedName>
    <definedName name="QProfit">'Lifetime Savings'!$AJ$10</definedName>
    <definedName name="RAK">#REF!</definedName>
    <definedName name="RetAge">'Lifetime Savings'!$N$7</definedName>
    <definedName name="returns">gate!$C$4</definedName>
    <definedName name="runMacro">gate!$C$2</definedName>
    <definedName name="Savingsperpurchase">'Lifetime Savings'!$J$17</definedName>
    <definedName name="Savingsperyear">'Lifetime Savings'!#REF!</definedName>
    <definedName name="SBRT">#REF!</definedName>
    <definedName name="SBRT_Kr">#REF!</definedName>
    <definedName name="SBRTAP">#REF!</definedName>
    <definedName name="SBRTDPK">#REF!</definedName>
    <definedName name="set_maxSetting">gate!$C$7</definedName>
    <definedName name="set_sheetname">gate!$C$8</definedName>
    <definedName name="SI">#REF!</definedName>
    <definedName name="Simp">#REF!</definedName>
    <definedName name="SPrice">'Lifetime Savings'!$N$11</definedName>
    <definedName name="syr_1">#REF!</definedName>
    <definedName name="syr_10">#REF!</definedName>
    <definedName name="syr_11">#REF!</definedName>
    <definedName name="syr_12">#REF!</definedName>
    <definedName name="syr_13">#REF!</definedName>
    <definedName name="syr_14">#REF!</definedName>
    <definedName name="syr_15">#REF!</definedName>
    <definedName name="syr_2">#REF!</definedName>
    <definedName name="syr_3">#REF!</definedName>
    <definedName name="syr_4">#REF!</definedName>
    <definedName name="syr_5">#REF!</definedName>
    <definedName name="syr_6">#REF!</definedName>
    <definedName name="syr_7">#REF!</definedName>
    <definedName name="syr_8">#REF!</definedName>
    <definedName name="syr_9">#REF!</definedName>
    <definedName name="T_LALU">#REF!</definedName>
    <definedName name="T_SKR">#REF!</definedName>
    <definedName name="TabelBulan">#REF!</definedName>
    <definedName name="TarAge">'Lifetime Savings'!$N$8</definedName>
    <definedName name="TD">#REF!</definedName>
    <definedName name="Times">'Lifetime Savings'!$N$12</definedName>
    <definedName name="TPF">#REF!</definedName>
    <definedName name="VLS">#REF!</definedName>
    <definedName name="Wajiblain">#REF!</definedName>
  </definedNames>
  <calcPr calcId="144525"/>
</workbook>
</file>

<file path=xl/calcChain.xml><?xml version="1.0" encoding="utf-8"?>
<calcChain xmlns="http://schemas.openxmlformats.org/spreadsheetml/2006/main">
  <c r="AJ13" i="3" l="1"/>
  <c r="AJ10" i="3"/>
  <c r="AJ7" i="3"/>
  <c r="AM12" i="3" l="1"/>
  <c r="J16" i="3"/>
  <c r="V16" i="3"/>
  <c r="C21" i="3"/>
  <c r="C26" i="3"/>
  <c r="AN11" i="3"/>
  <c r="AM13" i="3"/>
  <c r="C16" i="3"/>
  <c r="P16" i="3"/>
  <c r="J17" i="3"/>
  <c r="P17" i="3" s="1"/>
  <c r="V17" i="3" s="1"/>
  <c r="C27" i="3" l="1"/>
  <c r="AN13" i="3" s="1"/>
  <c r="X34" i="3"/>
  <c r="X37" i="3" s="1"/>
  <c r="C22" i="3"/>
  <c r="AN12" i="3" s="1"/>
</calcChain>
</file>

<file path=xl/sharedStrings.xml><?xml version="1.0" encoding="utf-8"?>
<sst xmlns="http://schemas.openxmlformats.org/spreadsheetml/2006/main" count="64" uniqueCount="58">
  <si>
    <t>macro</t>
  </si>
  <si>
    <t>sheetname</t>
  </si>
  <si>
    <t>module</t>
  </si>
  <si>
    <t>params</t>
  </si>
  <si>
    <t>return</t>
  </si>
  <si>
    <t>maxsession</t>
  </si>
  <si>
    <t>Macro</t>
  </si>
  <si>
    <t>Module Setting</t>
  </si>
  <si>
    <t>{}</t>
  </si>
  <si>
    <t>LIFETME SAVINGS (LOSSES) BY CHANGING PRODUCT BRANDS</t>
  </si>
  <si>
    <t xml:space="preserve">  Your Age:</t>
  </si>
  <si>
    <t>a day</t>
  </si>
  <si>
    <t>Control</t>
  </si>
  <si>
    <t xml:space="preserve">  Retirement Age:</t>
  </si>
  <si>
    <t>in 2 days</t>
  </si>
  <si>
    <t xml:space="preserve">  Target Age:</t>
  </si>
  <si>
    <t>a week</t>
  </si>
  <si>
    <t>in 2 weeks</t>
  </si>
  <si>
    <t>Qprofit</t>
  </si>
  <si>
    <t xml:space="preserve">  Unit price of the product brand you are using currently:</t>
  </si>
  <si>
    <t>a month</t>
  </si>
  <si>
    <t xml:space="preserve">  Unit price of a cheaper product brand you may use:</t>
  </si>
  <si>
    <t>in 2 months</t>
  </si>
  <si>
    <t xml:space="preserve">  How often do you use the product?</t>
  </si>
  <si>
    <t>times</t>
  </si>
  <si>
    <t>in 3 months</t>
  </si>
  <si>
    <t>Qindiff</t>
  </si>
  <si>
    <t>in 6 months</t>
  </si>
  <si>
    <t>a year</t>
  </si>
  <si>
    <t>in 2 years</t>
  </si>
  <si>
    <t>in 3 years</t>
  </si>
  <si>
    <t>INVESTMENT</t>
  </si>
  <si>
    <t xml:space="preserve">  Expected Annual Interest Rate:</t>
  </si>
  <si>
    <t>%</t>
  </si>
  <si>
    <t xml:space="preserve">  Exp'd Value of the Investment at</t>
  </si>
  <si>
    <t xml:space="preserve">  retirement age:</t>
  </si>
  <si>
    <t xml:space="preserve">  After retiring, monthly return of </t>
  </si>
  <si>
    <t xml:space="preserve">  your investment until target age:</t>
  </si>
  <si>
    <t>Follow the steps to enable your Lifetime Savings Calculator.</t>
  </si>
  <si>
    <t>&gt;&gt;</t>
  </si>
  <si>
    <t>This template is prepared for emphasizing the impact of using a cheaper brand rather that the one you are using currently in long term</t>
  </si>
  <si>
    <t>investments.</t>
  </si>
  <si>
    <t>Your Lifetime Savings Calculator is ready to use. Following steps are for online use.</t>
  </si>
  <si>
    <t>1)</t>
  </si>
  <si>
    <t>Visit the site below:</t>
  </si>
  <si>
    <t>http://www.spreadsheetweb.com/getting_started.htm</t>
  </si>
  <si>
    <t>You will only need the username and password to create your Lifetime Savings Calculator.</t>
  </si>
  <si>
    <t>2)</t>
  </si>
  <si>
    <t>https://www4.spreadsheetweb.com/SpreadsheetWEB//</t>
  </si>
  <si>
    <t>Login to page with your new account information.</t>
  </si>
  <si>
    <t>3)</t>
  </si>
  <si>
    <t>Click "Add Web Application" to upload this file. Your Lifetime Savings Calculator will be created automatically.</t>
  </si>
  <si>
    <t>You can simply use the Lifetime Savings Calculator from that link or place it on your website.</t>
  </si>
  <si>
    <t>Your Lifetime Savings Calculator will look like:</t>
  </si>
  <si>
    <t>http://www1.spreadsheetweb.com/SpreadSheetWeb/Output.aspx?ApplicationId=98a38dd5-e25d-4768-a03f-d46676e82fac</t>
  </si>
  <si>
    <t>In order to see more online applications created with PSW you can check the link below:</t>
  </si>
  <si>
    <t>http://www.spreadsheetweb.com/demos.htm</t>
  </si>
  <si>
    <t>Copyright (c) 2009 Pagos, Inc. http://www.pagos.com/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</si>
</sst>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8">
    <numFmt numFmtId="8" formatCode="&quot;$&quot;#,##0.00_);[Red]\(&quot;$&quot;#,##0.00\)"/>
    <numFmt numFmtId="164" formatCode="0.0"/>
    <numFmt numFmtId="165" formatCode="#,##0\ &quot;FB&quot;;\-#,##0\ &quot;FB&quot;"/>
    <numFmt numFmtId="166" formatCode="mmm\-d\-yyyy"/>
    <numFmt numFmtId="167" formatCode="###0_);\(###0\)"/>
    <numFmt numFmtId="168" formatCode="0.0%;[Red]\(0.0%\)"/>
    <numFmt numFmtId="169" formatCode="#,##0.0_);[Red]\(#,##0.0\)"/>
    <numFmt numFmtId="170" formatCode="#,##0.0_);[Red]\(#,##0.0\);&quot;N/A &quot;"/>
    <numFmt numFmtId="171" formatCode="0.00_)"/>
    <numFmt numFmtId="172" formatCode="#,##0.000_);[Red]\(#,##0.000\)"/>
    <numFmt numFmtId="173" formatCode="#,##0.0_)\ \ ;[Red]\(#,##0.0\)\ \ "/>
    <numFmt numFmtId="174" formatCode="_(&quot;$&quot;* #,##0.000_);_(&quot;$&quot;* \(#,##0.000\);_(&quot;$&quot;* &quot;-&quot;??_);_(@_)"/>
    <numFmt numFmtId="175" formatCode="_-* #,##0.00_-;\-* #,##0.00_-;_-* &quot;-&quot;??_-;_-@_-"/>
    <numFmt numFmtId="176" formatCode="0.0000000%"/>
    <numFmt numFmtId="177" formatCode="0%;[Red]\(0%\)"/>
    <numFmt numFmtId="178" formatCode="0.0000000000"/>
    <numFmt numFmtId="179" formatCode="mm/dd/yy"/>
    <numFmt numFmtId="180" formatCode="#,##0.0000"/>
  </numFmts>
  <fonts count="32" x14ac:knownFonts="1">
    <font>
      <sz val="10"/>
      <name val="Arial"/>
      <family val="2"/>
    </font>
    <font>
      <sz val="10"/>
      <name val="Arial"/>
      <family val="2"/>
    </font>
    <font>
      <sz val="8"/>
      <name val="Times New Roman"/>
      <family val="1"/>
    </font>
    <font>
      <sz val="12"/>
      <name val="Tms Rmn"/>
    </font>
    <font>
      <sz val="10"/>
      <name val="MS Serif"/>
      <family val="1"/>
    </font>
    <font>
      <b/>
      <sz val="8"/>
      <name val="Arial"/>
      <family val="2"/>
    </font>
    <font>
      <sz val="8"/>
      <color indexed="12"/>
      <name val="Arial"/>
      <family val="2"/>
    </font>
    <font>
      <sz val="10"/>
      <color indexed="16"/>
      <name val="MS Serif"/>
      <family val="1"/>
    </font>
    <font>
      <sz val="8"/>
      <name val="Arial"/>
      <family val="2"/>
    </font>
    <font>
      <b/>
      <sz val="12"/>
      <name val="Arial"/>
      <family val="2"/>
    </font>
    <font>
      <b/>
      <sz val="8"/>
      <name val="MS Sans Serif"/>
      <family val="2"/>
    </font>
    <font>
      <sz val="8"/>
      <color indexed="39"/>
      <name val="Arial"/>
      <family val="2"/>
    </font>
    <font>
      <sz val="7"/>
      <name val="Small Fonts"/>
      <family val="2"/>
    </font>
    <font>
      <b/>
      <i/>
      <sz val="16"/>
      <name val="Helv"/>
    </font>
    <font>
      <sz val="8"/>
      <color indexed="10"/>
      <name val="Arial"/>
      <family val="2"/>
    </font>
    <font>
      <sz val="8"/>
      <name val="Wingdings"/>
      <charset val="2"/>
    </font>
    <font>
      <sz val="8"/>
      <name val="Helv"/>
    </font>
    <font>
      <sz val="8"/>
      <name val="MS Sans Serif"/>
      <family val="2"/>
    </font>
    <font>
      <b/>
      <sz val="8"/>
      <color indexed="8"/>
      <name val="Helv"/>
    </font>
    <font>
      <sz val="8"/>
      <color indexed="9"/>
      <name val="Arial"/>
      <family val="2"/>
    </font>
    <font>
      <sz val="11"/>
      <color theme="1"/>
      <name val="Calibri"/>
      <family val="2"/>
      <charset val="162"/>
      <scheme val="minor"/>
    </font>
    <font>
      <b/>
      <sz val="14"/>
      <color theme="4" tint="-0.499984740745262"/>
      <name val="Arial Rounded MT Bold"/>
      <family val="2"/>
    </font>
    <font>
      <b/>
      <sz val="14"/>
      <color theme="1"/>
      <name val="Arial Rounded MT Bold"/>
      <family val="2"/>
    </font>
    <font>
      <sz val="11"/>
      <color theme="4" tint="-0.499984740745262"/>
      <name val="Arial Rounded MT Bold"/>
      <family val="2"/>
    </font>
    <font>
      <sz val="11"/>
      <color theme="0"/>
      <name val="Calibri"/>
      <family val="2"/>
      <charset val="162"/>
      <scheme val="minor"/>
    </font>
    <font>
      <b/>
      <sz val="11"/>
      <color theme="0"/>
      <name val="Calibri"/>
      <family val="2"/>
      <charset val="162"/>
      <scheme val="minor"/>
    </font>
    <font>
      <sz val="11"/>
      <color theme="1"/>
      <name val="Arial Rounded MT Bold"/>
      <family val="2"/>
    </font>
    <font>
      <b/>
      <sz val="11"/>
      <color theme="4" tint="-0.499984740745262"/>
      <name val="Arial Rounded MT Bold"/>
      <family val="2"/>
    </font>
    <font>
      <sz val="9"/>
      <color theme="1"/>
      <name val="Calibri"/>
      <family val="2"/>
      <charset val="162"/>
      <scheme val="minor"/>
    </font>
    <font>
      <b/>
      <sz val="14"/>
      <color theme="8" tint="-0.499984740745262"/>
      <name val="Calibri"/>
      <family val="2"/>
      <charset val="162"/>
      <scheme val="minor"/>
    </font>
    <font>
      <b/>
      <sz val="9"/>
      <color theme="1"/>
      <name val="Calibri"/>
      <family val="2"/>
      <charset val="162"/>
      <scheme val="minor"/>
    </font>
    <font>
      <u/>
      <sz val="9"/>
      <color rgb="FF0070C0"/>
      <name val="Calibri"/>
      <family val="2"/>
      <charset val="162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darkVertical"/>
    </fill>
    <fill>
      <patternFill patternType="solid">
        <fgColor indexed="1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9EFF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/>
      <diagonal/>
    </border>
    <border>
      <left/>
      <right style="medium">
        <color theme="4" tint="-0.499984740745262"/>
      </right>
      <top style="medium">
        <color theme="4" tint="-0.499984740745262"/>
      </top>
      <bottom/>
      <diagonal/>
    </border>
    <border>
      <left style="medium">
        <color theme="4" tint="-0.499984740745262"/>
      </left>
      <right/>
      <top/>
      <bottom/>
      <diagonal/>
    </border>
    <border>
      <left style="thin">
        <color theme="4" tint="-0.499984740745262"/>
      </left>
      <right/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theme="4" tint="-0.499984740745262"/>
      </top>
      <bottom style="thin">
        <color theme="4" tint="-0.499984740745262"/>
      </bottom>
      <diagonal/>
    </border>
    <border>
      <left/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 style="medium">
        <color theme="4" tint="-0.499984740745262"/>
      </right>
      <top/>
      <bottom/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/>
      <diagonal/>
    </border>
    <border>
      <left style="thin">
        <color theme="4" tint="-0.499984740745262"/>
      </left>
      <right style="thin">
        <color theme="4" tint="-0.499984740745262"/>
      </right>
      <top/>
      <bottom style="thin">
        <color theme="4" tint="-0.499984740745262"/>
      </bottom>
      <diagonal/>
    </border>
    <border>
      <left style="thick">
        <color theme="8" tint="-0.499984740745262"/>
      </left>
      <right/>
      <top style="thick">
        <color theme="8" tint="-0.499984740745262"/>
      </top>
      <bottom/>
      <diagonal/>
    </border>
    <border>
      <left/>
      <right/>
      <top style="thick">
        <color theme="8" tint="-0.499984740745262"/>
      </top>
      <bottom/>
      <diagonal/>
    </border>
    <border>
      <left/>
      <right style="thick">
        <color theme="8" tint="-0.499984740745262"/>
      </right>
      <top style="thick">
        <color theme="8" tint="-0.499984740745262"/>
      </top>
      <bottom/>
      <diagonal/>
    </border>
    <border>
      <left style="thick">
        <color theme="8" tint="-0.499984740745262"/>
      </left>
      <right/>
      <top/>
      <bottom/>
      <diagonal/>
    </border>
    <border>
      <left/>
      <right style="thick">
        <color theme="8" tint="-0.499984740745262"/>
      </right>
      <top/>
      <bottom/>
      <diagonal/>
    </border>
    <border>
      <left style="thick">
        <color theme="8" tint="-0.499984740745262"/>
      </left>
      <right/>
      <top/>
      <bottom style="thick">
        <color theme="8" tint="-0.499984740745262"/>
      </bottom>
      <diagonal/>
    </border>
    <border>
      <left/>
      <right/>
      <top/>
      <bottom style="thick">
        <color theme="8" tint="-0.499984740745262"/>
      </bottom>
      <diagonal/>
    </border>
    <border>
      <left/>
      <right style="thick">
        <color theme="8" tint="-0.499984740745262"/>
      </right>
      <top/>
      <bottom style="thick">
        <color theme="8" tint="-0.499984740745262"/>
      </bottom>
      <diagonal/>
    </border>
  </borders>
  <cellStyleXfs count="61">
    <xf numFmtId="0" fontId="0" fillId="0" borderId="0"/>
    <xf numFmtId="0" fontId="2" fillId="0" borderId="0">
      <alignment horizontal="center" wrapText="1"/>
      <protection locked="0"/>
    </xf>
    <xf numFmtId="164" fontId="1" fillId="0" borderId="0" applyFill="0" applyBorder="0" applyAlignment="0"/>
    <xf numFmtId="37" fontId="3" fillId="0" borderId="0"/>
    <xf numFmtId="37" fontId="3" fillId="0" borderId="0"/>
    <xf numFmtId="37" fontId="3" fillId="0" borderId="0"/>
    <xf numFmtId="37" fontId="3" fillId="0" borderId="0"/>
    <xf numFmtId="37" fontId="3" fillId="0" borderId="0"/>
    <xf numFmtId="37" fontId="3" fillId="0" borderId="0"/>
    <xf numFmtId="37" fontId="3" fillId="0" borderId="0"/>
    <xf numFmtId="37" fontId="3" fillId="0" borderId="0"/>
    <xf numFmtId="0" fontId="4" fillId="0" borderId="0" applyNumberFormat="0" applyAlignment="0">
      <alignment horizontal="left"/>
    </xf>
    <xf numFmtId="165" fontId="1" fillId="0" borderId="0" applyFont="0" applyFill="0" applyBorder="0" applyAlignment="0"/>
    <xf numFmtId="8" fontId="1" fillId="0" borderId="0" applyFont="0" applyFill="0" applyBorder="0" applyAlignment="0"/>
    <xf numFmtId="15" fontId="5" fillId="0" borderId="0" applyFill="0" applyBorder="0" applyAlignment="0"/>
    <xf numFmtId="166" fontId="1" fillId="3" borderId="0" applyFont="0" applyFill="0" applyBorder="0" applyAlignment="0" applyProtection="0"/>
    <xf numFmtId="166" fontId="6" fillId="3" borderId="1" applyFont="0" applyFill="0" applyBorder="0" applyAlignment="0" applyProtection="0"/>
    <xf numFmtId="17" fontId="5" fillId="0" borderId="0" applyFill="0" applyBorder="0">
      <alignment horizontal="right"/>
    </xf>
    <xf numFmtId="0" fontId="7" fillId="0" borderId="0" applyNumberFormat="0" applyAlignment="0">
      <alignment horizontal="left"/>
    </xf>
    <xf numFmtId="167" fontId="1" fillId="3" borderId="0" applyFont="0" applyFill="0" applyBorder="0" applyAlignment="0"/>
    <xf numFmtId="38" fontId="8" fillId="4" borderId="0" applyNumberFormat="0" applyBorder="0" applyAlignment="0" applyProtection="0"/>
    <xf numFmtId="0" fontId="9" fillId="0" borderId="2" applyNumberFormat="0" applyAlignment="0" applyProtection="0">
      <alignment horizontal="left" vertical="center"/>
    </xf>
    <xf numFmtId="0" fontId="9" fillId="0" borderId="3">
      <alignment horizontal="left" vertical="center"/>
    </xf>
    <xf numFmtId="0" fontId="10" fillId="0" borderId="4">
      <alignment horizontal="center"/>
    </xf>
    <xf numFmtId="0" fontId="10" fillId="0" borderId="0">
      <alignment horizontal="center"/>
    </xf>
    <xf numFmtId="10" fontId="8" fillId="5" borderId="5" applyNumberFormat="0" applyBorder="0" applyAlignment="0" applyProtection="0"/>
    <xf numFmtId="8" fontId="8" fillId="3" borderId="0" applyFont="0" applyBorder="0" applyAlignment="0" applyProtection="0">
      <protection locked="0"/>
    </xf>
    <xf numFmtId="15" fontId="8" fillId="3" borderId="0" applyFont="0" applyBorder="0" applyAlignment="0" applyProtection="0">
      <protection locked="0"/>
    </xf>
    <xf numFmtId="167" fontId="8" fillId="3" borderId="0" applyFont="0" applyBorder="0" applyAlignment="0">
      <protection locked="0"/>
    </xf>
    <xf numFmtId="38" fontId="8" fillId="3" borderId="0">
      <protection locked="0"/>
    </xf>
    <xf numFmtId="168" fontId="8" fillId="3" borderId="0" applyFont="0" applyBorder="0" applyAlignment="0">
      <protection locked="0"/>
    </xf>
    <xf numFmtId="10" fontId="8" fillId="3" borderId="0">
      <protection locked="0"/>
    </xf>
    <xf numFmtId="169" fontId="11" fillId="3" borderId="0" applyNumberFormat="0" applyBorder="0" applyAlignment="0">
      <protection locked="0"/>
    </xf>
    <xf numFmtId="170" fontId="8" fillId="4" borderId="0" applyFont="0" applyBorder="0" applyAlignment="0" applyProtection="0">
      <alignment horizontal="right"/>
      <protection hidden="1"/>
    </xf>
    <xf numFmtId="37" fontId="12" fillId="0" borderId="0"/>
    <xf numFmtId="171" fontId="13" fillId="0" borderId="0"/>
    <xf numFmtId="38" fontId="8" fillId="0" borderId="0" applyFont="0" applyFill="0" applyBorder="0" applyAlignment="0"/>
    <xf numFmtId="169" fontId="1" fillId="0" borderId="0" applyFont="0" applyFill="0" applyBorder="0" applyAlignment="0"/>
    <xf numFmtId="40" fontId="8" fillId="0" borderId="0" applyFont="0" applyFill="0" applyBorder="0" applyAlignment="0"/>
    <xf numFmtId="172" fontId="8" fillId="0" borderId="0" applyFont="0" applyFill="0" applyBorder="0" applyAlignment="0"/>
    <xf numFmtId="169" fontId="5" fillId="0" borderId="0" applyNumberFormat="0" applyFill="0" applyBorder="0" applyAlignment="0" applyProtection="0"/>
    <xf numFmtId="173" fontId="8" fillId="0" borderId="0" applyFont="0" applyFill="0" applyBorder="0" applyAlignment="0" applyProtection="0"/>
    <xf numFmtId="174" fontId="1" fillId="0" borderId="0" applyFont="0" applyFill="0" applyBorder="0" applyAlignment="0" applyProtection="0"/>
    <xf numFmtId="175" fontId="1" fillId="0" borderId="0" applyFont="0" applyFill="0" applyBorder="0" applyAlignment="0" applyProtection="0"/>
    <xf numFmtId="176" fontId="1" fillId="0" borderId="0"/>
    <xf numFmtId="14" fontId="2" fillId="0" borderId="0">
      <alignment horizontal="center" wrapText="1"/>
      <protection locked="0"/>
    </xf>
    <xf numFmtId="177" fontId="1" fillId="0" borderId="0" applyFont="0" applyFill="0" applyBorder="0" applyAlignment="0"/>
    <xf numFmtId="168" fontId="8" fillId="0" borderId="0" applyFont="0" applyFill="0" applyBorder="0" applyAlignment="0"/>
    <xf numFmtId="10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69" fontId="14" fillId="0" borderId="0" applyNumberFormat="0" applyFill="0" applyBorder="0" applyAlignment="0" applyProtection="0">
      <alignment horizontal="left"/>
    </xf>
    <xf numFmtId="0" fontId="15" fillId="6" borderId="0" applyNumberFormat="0" applyFont="0" applyBorder="0" applyAlignment="0">
      <alignment horizontal="center"/>
    </xf>
    <xf numFmtId="179" fontId="16" fillId="0" borderId="0" applyNumberFormat="0" applyFill="0" applyBorder="0" applyAlignment="0" applyProtection="0">
      <alignment horizontal="left"/>
    </xf>
    <xf numFmtId="0" fontId="15" fillId="1" borderId="3" applyNumberFormat="0" applyFont="0" applyAlignment="0">
      <alignment horizontal="center"/>
    </xf>
    <xf numFmtId="0" fontId="17" fillId="0" borderId="0" applyNumberFormat="0" applyFill="0" applyBorder="0" applyAlignment="0">
      <alignment horizontal="center"/>
    </xf>
    <xf numFmtId="169" fontId="8" fillId="2" borderId="0" applyNumberFormat="0" applyFont="0" applyBorder="0" applyAlignment="0">
      <protection hidden="1"/>
    </xf>
    <xf numFmtId="40" fontId="18" fillId="0" borderId="0" applyBorder="0">
      <alignment horizontal="right"/>
    </xf>
    <xf numFmtId="169" fontId="1" fillId="7" borderId="0" applyNumberFormat="0" applyFont="0" applyBorder="0" applyAlignment="0" applyProtection="0"/>
    <xf numFmtId="180" fontId="1" fillId="0" borderId="0" applyFill="0" applyBorder="0" applyAlignment="0" applyProtection="0">
      <alignment horizontal="right"/>
    </xf>
    <xf numFmtId="169" fontId="19" fillId="0" borderId="0" applyNumberFormat="0" applyFill="0" applyBorder="0" applyAlignment="0" applyProtection="0"/>
    <xf numFmtId="0" fontId="20" fillId="0" borderId="0"/>
  </cellStyleXfs>
  <cellXfs count="62">
    <xf numFmtId="0" fontId="0" fillId="0" borderId="0" xfId="0"/>
    <xf numFmtId="0" fontId="20" fillId="0" borderId="0" xfId="60" applyAlignment="1">
      <alignment vertical="center"/>
    </xf>
    <xf numFmtId="0" fontId="20" fillId="0" borderId="0" xfId="60"/>
    <xf numFmtId="0" fontId="22" fillId="0" borderId="0" xfId="60" applyFont="1" applyAlignment="1">
      <alignment horizontal="center" vertical="center"/>
    </xf>
    <xf numFmtId="0" fontId="20" fillId="8" borderId="6" xfId="60" applyFill="1" applyBorder="1" applyAlignment="1">
      <alignment vertical="center"/>
    </xf>
    <xf numFmtId="0" fontId="20" fillId="8" borderId="7" xfId="60" applyFill="1" applyBorder="1" applyAlignment="1">
      <alignment vertical="center"/>
    </xf>
    <xf numFmtId="0" fontId="20" fillId="8" borderId="8" xfId="60" applyFill="1" applyBorder="1" applyAlignment="1">
      <alignment vertical="center"/>
    </xf>
    <xf numFmtId="0" fontId="20" fillId="8" borderId="9" xfId="60" applyFill="1" applyBorder="1" applyAlignment="1">
      <alignment vertical="center"/>
    </xf>
    <xf numFmtId="0" fontId="20" fillId="8" borderId="0" xfId="60" applyFill="1" applyBorder="1" applyAlignment="1">
      <alignment vertical="center"/>
    </xf>
    <xf numFmtId="0" fontId="20" fillId="8" borderId="13" xfId="60" applyFill="1" applyBorder="1" applyAlignment="1">
      <alignment vertical="center"/>
    </xf>
    <xf numFmtId="0" fontId="24" fillId="0" borderId="0" xfId="60" applyFont="1"/>
    <xf numFmtId="0" fontId="25" fillId="0" borderId="0" xfId="60" applyFont="1"/>
    <xf numFmtId="0" fontId="20" fillId="8" borderId="14" xfId="60" applyFill="1" applyBorder="1" applyAlignment="1">
      <alignment vertical="center"/>
    </xf>
    <xf numFmtId="0" fontId="20" fillId="8" borderId="15" xfId="60" applyFill="1" applyBorder="1" applyAlignment="1">
      <alignment vertical="center"/>
    </xf>
    <xf numFmtId="0" fontId="20" fillId="8" borderId="16" xfId="60" applyFill="1" applyBorder="1" applyAlignment="1">
      <alignment vertical="center"/>
    </xf>
    <xf numFmtId="0" fontId="26" fillId="8" borderId="0" xfId="60" applyFont="1" applyFill="1" applyBorder="1" applyAlignment="1">
      <alignment vertical="center"/>
    </xf>
    <xf numFmtId="0" fontId="20" fillId="0" borderId="0" xfId="60" applyAlignment="1">
      <alignment horizontal="center"/>
    </xf>
    <xf numFmtId="0" fontId="26" fillId="8" borderId="0" xfId="60" applyFont="1" applyFill="1" applyBorder="1" applyAlignment="1">
      <alignment horizontal="center" vertical="center"/>
    </xf>
    <xf numFmtId="0" fontId="28" fillId="11" borderId="20" xfId="60" applyFont="1" applyFill="1" applyBorder="1" applyAlignment="1">
      <alignment vertical="center"/>
    </xf>
    <xf numFmtId="0" fontId="28" fillId="11" borderId="21" xfId="60" applyFont="1" applyFill="1" applyBorder="1" applyAlignment="1">
      <alignment vertical="center"/>
    </xf>
    <xf numFmtId="0" fontId="20" fillId="11" borderId="21" xfId="60" applyFill="1" applyBorder="1" applyAlignment="1">
      <alignment vertical="center"/>
    </xf>
    <xf numFmtId="0" fontId="20" fillId="11" borderId="22" xfId="60" applyFill="1" applyBorder="1" applyAlignment="1">
      <alignment vertical="center"/>
    </xf>
    <xf numFmtId="0" fontId="20" fillId="0" borderId="0" xfId="60" applyFill="1" applyAlignment="1">
      <alignment vertical="center"/>
    </xf>
    <xf numFmtId="0" fontId="28" fillId="11" borderId="23" xfId="60" applyFont="1" applyFill="1" applyBorder="1" applyAlignment="1">
      <alignment vertical="center"/>
    </xf>
    <xf numFmtId="0" fontId="28" fillId="11" borderId="0" xfId="60" applyFont="1" applyFill="1" applyBorder="1" applyAlignment="1">
      <alignment vertical="center"/>
    </xf>
    <xf numFmtId="0" fontId="20" fillId="11" borderId="24" xfId="60" applyFill="1" applyBorder="1" applyAlignment="1">
      <alignment vertical="center"/>
    </xf>
    <xf numFmtId="0" fontId="30" fillId="11" borderId="0" xfId="60" applyFont="1" applyFill="1" applyBorder="1" applyAlignment="1">
      <alignment vertical="center"/>
    </xf>
    <xf numFmtId="0" fontId="28" fillId="11" borderId="24" xfId="60" applyFont="1" applyFill="1" applyBorder="1" applyAlignment="1">
      <alignment vertical="center"/>
    </xf>
    <xf numFmtId="0" fontId="28" fillId="0" borderId="0" xfId="60" applyFont="1" applyFill="1" applyAlignment="1">
      <alignment vertical="center"/>
    </xf>
    <xf numFmtId="0" fontId="31" fillId="11" borderId="0" xfId="60" applyFont="1" applyFill="1" applyBorder="1" applyAlignment="1">
      <alignment vertical="center"/>
    </xf>
    <xf numFmtId="0" fontId="28" fillId="11" borderId="25" xfId="60" applyFont="1" applyFill="1" applyBorder="1" applyAlignment="1">
      <alignment vertical="center"/>
    </xf>
    <xf numFmtId="0" fontId="28" fillId="11" borderId="26" xfId="60" applyFont="1" applyFill="1" applyBorder="1" applyAlignment="1">
      <alignment vertical="center"/>
    </xf>
    <xf numFmtId="0" fontId="28" fillId="11" borderId="27" xfId="60" applyFont="1" applyFill="1" applyBorder="1" applyAlignment="1">
      <alignment vertical="center"/>
    </xf>
    <xf numFmtId="0" fontId="26" fillId="9" borderId="10" xfId="60" applyFont="1" applyFill="1" applyBorder="1" applyAlignment="1">
      <alignment horizontal="center" vertical="center"/>
    </xf>
    <xf numFmtId="0" fontId="26" fillId="9" borderId="11" xfId="60" applyFont="1" applyFill="1" applyBorder="1" applyAlignment="1">
      <alignment horizontal="center" vertical="center"/>
    </xf>
    <xf numFmtId="0" fontId="26" fillId="9" borderId="12" xfId="60" applyFont="1" applyFill="1" applyBorder="1" applyAlignment="1">
      <alignment horizontal="center" vertical="center"/>
    </xf>
    <xf numFmtId="0" fontId="26" fillId="9" borderId="18" xfId="60" applyFont="1" applyFill="1" applyBorder="1" applyAlignment="1">
      <alignment horizontal="left" vertical="center"/>
    </xf>
    <xf numFmtId="3" fontId="20" fillId="9" borderId="18" xfId="60" applyNumberFormat="1" applyFill="1" applyBorder="1" applyAlignment="1">
      <alignment horizontal="center" vertical="center"/>
    </xf>
    <xf numFmtId="3" fontId="20" fillId="9" borderId="19" xfId="60" applyNumberFormat="1" applyFill="1" applyBorder="1" applyAlignment="1">
      <alignment horizontal="center" vertical="center"/>
    </xf>
    <xf numFmtId="0" fontId="26" fillId="9" borderId="19" xfId="60" applyFont="1" applyFill="1" applyBorder="1" applyAlignment="1">
      <alignment horizontal="left" vertical="center"/>
    </xf>
    <xf numFmtId="3" fontId="20" fillId="9" borderId="10" xfId="60" applyNumberFormat="1" applyFill="1" applyBorder="1" applyAlignment="1">
      <alignment horizontal="center" vertical="center"/>
    </xf>
    <xf numFmtId="3" fontId="20" fillId="9" borderId="11" xfId="60" applyNumberFormat="1" applyFill="1" applyBorder="1" applyAlignment="1">
      <alignment horizontal="center" vertical="center"/>
    </xf>
    <xf numFmtId="3" fontId="20" fillId="9" borderId="12" xfId="60" applyNumberFormat="1" applyFill="1" applyBorder="1" applyAlignment="1">
      <alignment horizontal="center" vertical="center"/>
    </xf>
    <xf numFmtId="0" fontId="27" fillId="8" borderId="0" xfId="60" applyFont="1" applyFill="1" applyBorder="1" applyAlignment="1">
      <alignment horizontal="center" vertical="center"/>
    </xf>
    <xf numFmtId="0" fontId="26" fillId="9" borderId="17" xfId="60" applyFont="1" applyFill="1" applyBorder="1" applyAlignment="1">
      <alignment horizontal="left" vertical="center"/>
    </xf>
    <xf numFmtId="0" fontId="20" fillId="0" borderId="17" xfId="60" applyFill="1" applyBorder="1" applyAlignment="1" applyProtection="1">
      <alignment horizontal="center" vertical="center"/>
      <protection locked="0"/>
    </xf>
    <xf numFmtId="4" fontId="20" fillId="9" borderId="10" xfId="60" applyNumberFormat="1" applyFill="1" applyBorder="1" applyAlignment="1">
      <alignment horizontal="center" vertical="center"/>
    </xf>
    <xf numFmtId="4" fontId="20" fillId="9" borderId="11" xfId="60" applyNumberFormat="1" applyFill="1" applyBorder="1" applyAlignment="1">
      <alignment horizontal="center" vertical="center"/>
    </xf>
    <xf numFmtId="4" fontId="20" fillId="9" borderId="12" xfId="60" applyNumberFormat="1" applyFill="1" applyBorder="1" applyAlignment="1">
      <alignment horizontal="center" vertical="center"/>
    </xf>
    <xf numFmtId="0" fontId="20" fillId="8" borderId="0" xfId="60" applyFill="1" applyBorder="1" applyAlignment="1">
      <alignment horizontal="center" vertical="center"/>
    </xf>
    <xf numFmtId="0" fontId="23" fillId="9" borderId="10" xfId="60" applyFont="1" applyFill="1" applyBorder="1" applyAlignment="1">
      <alignment horizontal="left" vertical="center"/>
    </xf>
    <xf numFmtId="0" fontId="23" fillId="9" borderId="11" xfId="60" applyFont="1" applyFill="1" applyBorder="1" applyAlignment="1">
      <alignment horizontal="left" vertical="center"/>
    </xf>
    <xf numFmtId="0" fontId="23" fillId="9" borderId="12" xfId="60" applyFont="1" applyFill="1" applyBorder="1" applyAlignment="1">
      <alignment horizontal="left" vertical="center"/>
    </xf>
    <xf numFmtId="0" fontId="20" fillId="10" borderId="10" xfId="60" applyFill="1" applyBorder="1" applyAlignment="1" applyProtection="1">
      <alignment horizontal="center" vertical="center"/>
      <protection locked="0"/>
    </xf>
    <xf numFmtId="0" fontId="20" fillId="10" borderId="12" xfId="60" applyFill="1" applyBorder="1" applyAlignment="1" applyProtection="1">
      <alignment horizontal="center" vertical="center"/>
      <protection locked="0"/>
    </xf>
    <xf numFmtId="0" fontId="26" fillId="8" borderId="0" xfId="60" applyFont="1" applyFill="1" applyBorder="1" applyAlignment="1">
      <alignment horizontal="center" vertical="center"/>
    </xf>
    <xf numFmtId="0" fontId="26" fillId="10" borderId="10" xfId="60" applyFont="1" applyFill="1" applyBorder="1" applyAlignment="1" applyProtection="1">
      <alignment horizontal="center" vertical="center"/>
      <protection locked="0"/>
    </xf>
    <xf numFmtId="0" fontId="26" fillId="10" borderId="11" xfId="60" applyFont="1" applyFill="1" applyBorder="1" applyAlignment="1" applyProtection="1">
      <alignment horizontal="center" vertical="center"/>
      <protection locked="0"/>
    </xf>
    <xf numFmtId="0" fontId="26" fillId="10" borderId="12" xfId="60" applyFont="1" applyFill="1" applyBorder="1" applyAlignment="1" applyProtection="1">
      <alignment horizontal="center" vertical="center"/>
      <protection locked="0"/>
    </xf>
    <xf numFmtId="0" fontId="26" fillId="8" borderId="0" xfId="60" applyFont="1" applyFill="1" applyBorder="1" applyAlignment="1">
      <alignment horizontal="left" vertical="center"/>
    </xf>
    <xf numFmtId="0" fontId="21" fillId="0" borderId="0" xfId="60" applyFont="1" applyAlignment="1">
      <alignment horizontal="center" vertical="center"/>
    </xf>
    <xf numFmtId="0" fontId="29" fillId="11" borderId="0" xfId="60" applyFont="1" applyFill="1" applyBorder="1" applyAlignment="1">
      <alignment horizontal="left" vertical="center"/>
    </xf>
  </cellXfs>
  <cellStyles count="61">
    <cellStyle name="args.style" xfId="1"/>
    <cellStyle name="Calc Currency (0)" xfId="2"/>
    <cellStyle name="Comma  - Style1" xfId="3"/>
    <cellStyle name="Comma  - Style2" xfId="4"/>
    <cellStyle name="Comma  - Style3" xfId="5"/>
    <cellStyle name="Comma  - Style4" xfId="6"/>
    <cellStyle name="Comma  - Style5" xfId="7"/>
    <cellStyle name="Comma  - Style6" xfId="8"/>
    <cellStyle name="Comma  - Style7" xfId="9"/>
    <cellStyle name="Comma  - Style8" xfId="10"/>
    <cellStyle name="Copied" xfId="11"/>
    <cellStyle name="Currency [1]" xfId="12"/>
    <cellStyle name="Currency [2]" xfId="13"/>
    <cellStyle name="Date [d-mmm-yy]" xfId="14"/>
    <cellStyle name="Date [mm-d-yy]" xfId="15"/>
    <cellStyle name="Date [mm-d-yyyy]" xfId="16"/>
    <cellStyle name="Date [mmm-yy]" xfId="17"/>
    <cellStyle name="Entered" xfId="18"/>
    <cellStyle name="Fixed [0]" xfId="19"/>
    <cellStyle name="Grey" xfId="20"/>
    <cellStyle name="Header1" xfId="21"/>
    <cellStyle name="Header2" xfId="22"/>
    <cellStyle name="HEADINGS" xfId="23"/>
    <cellStyle name="HEADINGSTOP" xfId="24"/>
    <cellStyle name="Input [yellow]" xfId="25"/>
    <cellStyle name="Input Currency" xfId="26"/>
    <cellStyle name="Input Date" xfId="27"/>
    <cellStyle name="Input Fixed [0]" xfId="28"/>
    <cellStyle name="Input Normal" xfId="29"/>
    <cellStyle name="Input Percent" xfId="30"/>
    <cellStyle name="Input Percent [2]" xfId="31"/>
    <cellStyle name="Input Titles" xfId="32"/>
    <cellStyle name="NA is zero" xfId="33"/>
    <cellStyle name="no dec" xfId="34"/>
    <cellStyle name="Normal" xfId="0" builtinId="0"/>
    <cellStyle name="Normal - Style1" xfId="35"/>
    <cellStyle name="Normal [0]" xfId="36"/>
    <cellStyle name="Normal [1]" xfId="37"/>
    <cellStyle name="Normal [2]" xfId="38"/>
    <cellStyle name="Normal [3]" xfId="39"/>
    <cellStyle name="Normal 2" xfId="60"/>
    <cellStyle name="Normal Bold" xfId="40"/>
    <cellStyle name="Normal Pct" xfId="41"/>
    <cellStyle name="NPPESalesPct" xfId="42"/>
    <cellStyle name="NWI%S" xfId="43"/>
    <cellStyle name="pc1" xfId="44"/>
    <cellStyle name="per.style" xfId="45"/>
    <cellStyle name="Percent [0]" xfId="46"/>
    <cellStyle name="Percent [1]" xfId="47"/>
    <cellStyle name="Percent [2]" xfId="48"/>
    <cellStyle name="PercentSales" xfId="49"/>
    <cellStyle name="Red font" xfId="50"/>
    <cellStyle name="regstoresfromspecstores" xfId="51"/>
    <cellStyle name="RevList" xfId="52"/>
    <cellStyle name="SHADEDSTORES" xfId="53"/>
    <cellStyle name="specstores" xfId="54"/>
    <cellStyle name="Strange" xfId="55"/>
    <cellStyle name="Subtotal" xfId="56"/>
    <cellStyle name="Test [green]" xfId="57"/>
    <cellStyle name="TFCF" xfId="58"/>
    <cellStyle name="White" xfId="5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microsoft.com/office/2006/relationships/vbaProject" Target="vbaProject.bin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'Lifetime Savings'!$AM$12</c:f>
              <c:strCache>
                <c:ptCount val="1"/>
                <c:pt idx="0">
                  <c:v>Savings before retirement</c:v>
                </c:pt>
              </c:strCache>
            </c:strRef>
          </c:tx>
          <c:invertIfNegative val="0"/>
          <c:cat>
            <c:strRef>
              <c:f>'Lifetime Savings'!$AN$11</c:f>
              <c:strCache>
                <c:ptCount val="1"/>
                <c:pt idx="0">
                  <c:v>Savings</c:v>
                </c:pt>
              </c:strCache>
            </c:strRef>
          </c:cat>
          <c:val>
            <c:numRef>
              <c:f>'Lifetime Savings'!$AN$12</c:f>
              <c:numCache>
                <c:formatCode>General</c:formatCode>
                <c:ptCount val="1"/>
                <c:pt idx="0">
                  <c:v>800</c:v>
                </c:pt>
              </c:numCache>
            </c:numRef>
          </c:val>
        </c:ser>
        <c:ser>
          <c:idx val="1"/>
          <c:order val="1"/>
          <c:tx>
            <c:strRef>
              <c:f>'Lifetime Savings'!$AM$13</c:f>
              <c:strCache>
                <c:ptCount val="1"/>
                <c:pt idx="0">
                  <c:v>Savings during retirement</c:v>
                </c:pt>
              </c:strCache>
            </c:strRef>
          </c:tx>
          <c:invertIfNegative val="0"/>
          <c:cat>
            <c:strRef>
              <c:f>'Lifetime Savings'!$AN$11</c:f>
              <c:strCache>
                <c:ptCount val="1"/>
                <c:pt idx="0">
                  <c:v>Savings</c:v>
                </c:pt>
              </c:strCache>
            </c:strRef>
          </c:cat>
          <c:val>
            <c:numRef>
              <c:f>'Lifetime Savings'!$AN$13</c:f>
              <c:numCache>
                <c:formatCode>General</c:formatCode>
                <c:ptCount val="1"/>
                <c:pt idx="0">
                  <c:v>480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8205696"/>
        <c:axId val="171267200"/>
      </c:barChart>
      <c:catAx>
        <c:axId val="168205696"/>
        <c:scaling>
          <c:orientation val="minMax"/>
        </c:scaling>
        <c:delete val="1"/>
        <c:axPos val="l"/>
        <c:majorTickMark val="out"/>
        <c:minorTickMark val="none"/>
        <c:tickLblPos val="nextTo"/>
        <c:crossAx val="171267200"/>
        <c:crosses val="autoZero"/>
        <c:auto val="1"/>
        <c:lblAlgn val="ctr"/>
        <c:lblOffset val="100"/>
        <c:noMultiLvlLbl val="0"/>
      </c:catAx>
      <c:valAx>
        <c:axId val="17126720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6820569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19050</xdr:colOff>
      <xdr:row>18</xdr:row>
      <xdr:rowOff>9525</xdr:rowOff>
    </xdr:from>
    <xdr:to>
      <xdr:col>26</xdr:col>
      <xdr:colOff>28575</xdr:colOff>
      <xdr:row>28</xdr:row>
      <xdr:rowOff>9525</xdr:rowOff>
    </xdr:to>
    <xdr:graphicFrame macro="">
      <xdr:nvGraphicFramePr>
        <xdr:cNvPr id="2" name="9 Grafik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Q:\A_NTT\AA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ebkpo\sys\USERS\ANGGARAN\RIKA\RUDYANTO\TEMP\ITUNGAN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Q:\myproject\jateng\B&amp;M%202013\Template%20Konvensional\BEP\NTT\Bank\RBB%20Internal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elcome"/>
      <sheetName val="Menu"/>
      <sheetName val="Mnu_Asm+Mcr"/>
      <sheetName val="Input_Asm"/>
      <sheetName val="Mnu_Asm+Mcr_Sy"/>
      <sheetName val="Input_Asm_Syar"/>
      <sheetName val="Info"/>
      <sheetName val="Chart1"/>
      <sheetName val="Chart2"/>
      <sheetName val="Chart3"/>
      <sheetName val="Chart4"/>
      <sheetName val="Message"/>
      <sheetName val="Assumption"/>
      <sheetName val="Ex Summary"/>
      <sheetName val="BES"/>
      <sheetName val="HL"/>
      <sheetName val="Ratios"/>
      <sheetName val="Act_Ratio"/>
      <sheetName val="BI_Ratios"/>
      <sheetName val="Rating"/>
      <sheetName val="BS"/>
      <sheetName val="ASBS"/>
      <sheetName val="IS"/>
      <sheetName val="ASIS"/>
      <sheetName val="OFF"/>
      <sheetName val="ASOFF"/>
      <sheetName val="BS $"/>
      <sheetName val="OFF $"/>
      <sheetName val="Syariah"/>
      <sheetName val="AS_Syar"/>
      <sheetName val="Int Inc"/>
      <sheetName val="Int Exp"/>
      <sheetName val="BLR"/>
      <sheetName val="NPL_"/>
      <sheetName val="NPL"/>
      <sheetName val="CAR_"/>
      <sheetName val="CAR"/>
      <sheetName val="NOP"/>
      <sheetName val="OHC"/>
      <sheetName val="Loans"/>
      <sheetName val="Deposits"/>
      <sheetName val="G Bonds"/>
      <sheetName val="Securities"/>
      <sheetName val="INV"/>
      <sheetName val="FA"/>
      <sheetName val="BSM"/>
      <sheetName val="ISM"/>
      <sheetName val="OFFM"/>
      <sheetName val="HLM"/>
      <sheetName val="RTOM"/>
      <sheetName val="OHCM"/>
      <sheetName val="LoansM"/>
      <sheetName val="DepositsM"/>
      <sheetName val="HS"/>
      <sheetName val="HS_S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Annual report"/>
      <sheetName val="Data for Broker link"/>
      <sheetName val="31 Sept 2000"/>
      <sheetName val="30 Okt 2000"/>
      <sheetName val="30 Nop 2000"/>
      <sheetName val="29 Desember 2000"/>
      <sheetName val="Sandi Juli"/>
      <sheetName val="Sandi Sept"/>
      <sheetName val="Sandi laba rugi"/>
      <sheetName val="Form-1"/>
      <sheetName val="Form-1A"/>
      <sheetName val="Form-2"/>
      <sheetName val="Form-3"/>
      <sheetName val="Form-4"/>
      <sheetName val="Form-5"/>
      <sheetName val="Form-6"/>
      <sheetName val="Form-7"/>
      <sheetName val="Form-7A"/>
      <sheetName val="Form-8"/>
      <sheetName val="Form-9"/>
      <sheetName val="Form-10"/>
      <sheetName val="Form-11"/>
      <sheetName val="Form-12"/>
      <sheetName val="Form-13"/>
      <sheetName val="Sheet2"/>
      <sheetName val="Sheet3"/>
      <sheetName val="Segmen BI"/>
      <sheetName val="Segmen BSM"/>
      <sheetName val="Produk"/>
      <sheetName val="Sektor"/>
      <sheetName val="Penggunaan"/>
      <sheetName val="Sheet4"/>
      <sheetName val="Master Agst"/>
      <sheetName val="XXXXXX"/>
      <sheetName val="MENU"/>
      <sheetName val="JUDUL-KK"/>
      <sheetName val="KKPW-01"/>
      <sheetName val="KKPW-02"/>
      <sheetName val="KKPW-03"/>
      <sheetName val="KKPW-04"/>
      <sheetName val="KKPW-04 (2)"/>
      <sheetName val="kkpw-04(3)"/>
      <sheetName val="KKPW-05"/>
      <sheetName val="KKPW-06"/>
      <sheetName val="KKPW-07"/>
      <sheetName val="KKPW-08"/>
      <sheetName val="KKPW-09"/>
      <sheetName val="KKPW-10"/>
      <sheetName val="KKPW-11"/>
      <sheetName val="KKPW-12"/>
      <sheetName val="KKPW-13"/>
      <sheetName val="KKPW-14"/>
      <sheetName val="KKPW-15"/>
      <sheetName val="KKPW-16"/>
      <sheetName val="KKPW-17"/>
      <sheetName val="KKPW-18"/>
      <sheetName val="KKPW-19"/>
      <sheetName val="KKPW-20"/>
      <sheetName val="KKPW-20 (2)"/>
      <sheetName val="KKPW-21"/>
      <sheetName val="KKPW-21 (1)"/>
      <sheetName val="KKPW-21 (2)"/>
      <sheetName val="KKPW-21 (3)"/>
      <sheetName val="KKPW-22"/>
      <sheetName val="KKPW-22 (2)"/>
      <sheetName val="KKPW-23A"/>
      <sheetName val="KKPW-23 B"/>
      <sheetName val="KKPW-23 C"/>
      <sheetName val="KKPW-24"/>
      <sheetName val="KKPW-25"/>
      <sheetName val="KKPW-26"/>
      <sheetName val="KKPW-27"/>
      <sheetName val="KKPW-28"/>
      <sheetName val="KKPW-28 (2)"/>
      <sheetName val="KKPW-28 (3)"/>
      <sheetName val="KKPW-29"/>
      <sheetName val="KKPW-30"/>
      <sheetName val="KKPW-31"/>
      <sheetName val="KKPW-32"/>
      <sheetName val="KKPW-33A"/>
      <sheetName val="KKPW-33B"/>
      <sheetName val="KKPW-34"/>
      <sheetName val="KKPW-35"/>
      <sheetName val="KKPW-36"/>
      <sheetName val="KKPW-37"/>
      <sheetName val="KKPW-38"/>
      <sheetName val="KKPW-39"/>
      <sheetName val="KKPW-39A"/>
      <sheetName val="Annual repor_x0000_"/>
      <sheetName val="2 form ms dana pinjaman"/>
      <sheetName val="Annual repor_x005f_x0000_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 refreshError="1"/>
      <sheetData sheetId="90" refreshError="1"/>
      <sheetData sheetId="9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elcome"/>
      <sheetName val="Menu"/>
      <sheetName val="Mnu_Asm+Mcr"/>
      <sheetName val="Input_Asm"/>
      <sheetName val="Mnu_Asm+Mcr_Sy"/>
      <sheetName val="Input_Asm_Syar"/>
      <sheetName val="Info"/>
      <sheetName val="Chart1"/>
      <sheetName val="Chart2"/>
      <sheetName val="Chart3"/>
      <sheetName val="Chart4"/>
      <sheetName val="Message"/>
      <sheetName val="Capital"/>
      <sheetName val="Assumption"/>
      <sheetName val="Ex Summary"/>
      <sheetName val="BES"/>
      <sheetName val="HL"/>
      <sheetName val="Ratios"/>
      <sheetName val="BI_Ratios"/>
      <sheetName val="Rating"/>
      <sheetName val="BS"/>
      <sheetName val="ASBS"/>
      <sheetName val="IS"/>
      <sheetName val="ASIS"/>
      <sheetName val="OFF"/>
      <sheetName val="ASOFF"/>
      <sheetName val="BS $"/>
      <sheetName val="OFF $"/>
      <sheetName val="Syariah"/>
      <sheetName val="AS_Syar"/>
      <sheetName val="Int Inc"/>
      <sheetName val="Int Exp"/>
      <sheetName val="BLR"/>
      <sheetName val="NPL"/>
      <sheetName val="CAR"/>
      <sheetName val="NOP"/>
      <sheetName val="OHC"/>
      <sheetName val="Loans"/>
      <sheetName val="Deposits"/>
      <sheetName val="G Bonds"/>
      <sheetName val="Securities"/>
      <sheetName val="INV"/>
      <sheetName val="FA"/>
      <sheetName val="BSM"/>
      <sheetName val="ISM"/>
      <sheetName val="OFFM"/>
      <sheetName val="HLM"/>
      <sheetName val="RTOM"/>
      <sheetName val="OHCM"/>
      <sheetName val="LoansM"/>
      <sheetName val="DepositsM"/>
      <sheetName val="HS"/>
      <sheetName val="HS_Sy"/>
      <sheetName val="Act_Rati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"/>
  <dimension ref="B2:AO39"/>
  <sheetViews>
    <sheetView showGridLines="0" tabSelected="1" topLeftCell="A4" zoomScaleNormal="100" workbookViewId="0">
      <selection activeCell="X34" sqref="X34:Z35"/>
    </sheetView>
  </sheetViews>
  <sheetFormatPr defaultRowHeight="15" x14ac:dyDescent="0.25"/>
  <cols>
    <col min="1" max="2" width="4.7109375" style="2" customWidth="1"/>
    <col min="3" max="13" width="5.5703125" style="2" customWidth="1"/>
    <col min="14" max="27" width="5.28515625" style="2" customWidth="1"/>
    <col min="28" max="35" width="4.7109375" style="2" customWidth="1"/>
    <col min="36" max="36" width="7.5703125" style="2" bestFit="1" customWidth="1"/>
    <col min="37" max="67" width="4.7109375" style="2" customWidth="1"/>
    <col min="68" max="16384" width="9.140625" style="2"/>
  </cols>
  <sheetData>
    <row r="2" spans="2:41" x14ac:dyDescent="0.25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</row>
    <row r="3" spans="2:41" ht="18" x14ac:dyDescent="0.25">
      <c r="B3" s="1"/>
      <c r="C3" s="60" t="s">
        <v>9</v>
      </c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1"/>
    </row>
    <row r="4" spans="2:41" ht="18.75" thickBot="1" x14ac:dyDescent="0.3">
      <c r="B4" s="1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1"/>
    </row>
    <row r="5" spans="2:41" x14ac:dyDescent="0.25">
      <c r="B5" s="4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6"/>
    </row>
    <row r="6" spans="2:41" x14ac:dyDescent="0.25">
      <c r="B6" s="7"/>
      <c r="C6" s="50" t="s">
        <v>10</v>
      </c>
      <c r="D6" s="51"/>
      <c r="E6" s="51"/>
      <c r="F6" s="51"/>
      <c r="G6" s="51"/>
      <c r="H6" s="51"/>
      <c r="I6" s="51"/>
      <c r="J6" s="51"/>
      <c r="K6" s="51"/>
      <c r="L6" s="51"/>
      <c r="M6" s="52"/>
      <c r="N6" s="53">
        <v>30</v>
      </c>
      <c r="O6" s="54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9"/>
      <c r="AG6" s="10" t="s">
        <v>11</v>
      </c>
      <c r="AH6" s="10">
        <v>30</v>
      </c>
      <c r="AI6" s="10"/>
      <c r="AJ6" s="11" t="s">
        <v>12</v>
      </c>
      <c r="AK6" s="10"/>
      <c r="AL6" s="10"/>
      <c r="AM6" s="10"/>
      <c r="AN6" s="10"/>
      <c r="AO6" s="10"/>
    </row>
    <row r="7" spans="2:41" x14ac:dyDescent="0.25">
      <c r="B7" s="7"/>
      <c r="C7" s="50" t="s">
        <v>13</v>
      </c>
      <c r="D7" s="51"/>
      <c r="E7" s="51"/>
      <c r="F7" s="51"/>
      <c r="G7" s="51"/>
      <c r="H7" s="51"/>
      <c r="I7" s="51"/>
      <c r="J7" s="51"/>
      <c r="K7" s="51"/>
      <c r="L7" s="51"/>
      <c r="M7" s="52"/>
      <c r="N7" s="53">
        <v>55</v>
      </c>
      <c r="O7" s="54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9"/>
      <c r="AG7" s="10" t="s">
        <v>14</v>
      </c>
      <c r="AH7" s="10">
        <v>15</v>
      </c>
      <c r="AI7" s="10"/>
      <c r="AJ7" s="10" t="b">
        <f>NOT(OR(N6="",N7="",N8="",N10="",N11="",N12="",R12="",TarAge&lt;RetAge,RetAge&lt;Age))</f>
        <v>1</v>
      </c>
      <c r="AK7" s="10"/>
      <c r="AL7" s="10"/>
      <c r="AM7" s="10"/>
      <c r="AN7" s="10"/>
      <c r="AO7" s="10"/>
    </row>
    <row r="8" spans="2:41" x14ac:dyDescent="0.25">
      <c r="B8" s="7"/>
      <c r="C8" s="50" t="s">
        <v>15</v>
      </c>
      <c r="D8" s="51"/>
      <c r="E8" s="51"/>
      <c r="F8" s="51"/>
      <c r="G8" s="51"/>
      <c r="H8" s="51"/>
      <c r="I8" s="51"/>
      <c r="J8" s="51"/>
      <c r="K8" s="51"/>
      <c r="L8" s="51"/>
      <c r="M8" s="52"/>
      <c r="N8" s="53">
        <v>70</v>
      </c>
      <c r="O8" s="54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9"/>
      <c r="AG8" s="10" t="s">
        <v>16</v>
      </c>
      <c r="AH8" s="10">
        <v>4.2857142857142856</v>
      </c>
      <c r="AI8" s="10"/>
      <c r="AJ8" s="10"/>
      <c r="AK8" s="10"/>
      <c r="AL8" s="10"/>
      <c r="AM8" s="10"/>
      <c r="AN8" s="10"/>
      <c r="AO8" s="10"/>
    </row>
    <row r="9" spans="2:41" x14ac:dyDescent="0.25">
      <c r="B9" s="7"/>
      <c r="C9" s="59"/>
      <c r="D9" s="59"/>
      <c r="E9" s="59"/>
      <c r="F9" s="59"/>
      <c r="G9" s="59"/>
      <c r="H9" s="59"/>
      <c r="I9" s="59"/>
      <c r="J9" s="59"/>
      <c r="K9" s="59"/>
      <c r="L9" s="59"/>
      <c r="M9" s="59"/>
      <c r="N9" s="49"/>
      <c r="O9" s="49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9"/>
      <c r="AG9" s="10" t="s">
        <v>17</v>
      </c>
      <c r="AH9" s="10">
        <v>2.1428571428571428</v>
      </c>
      <c r="AI9" s="10"/>
      <c r="AJ9" s="11" t="s">
        <v>18</v>
      </c>
      <c r="AK9" s="10"/>
      <c r="AL9" s="10"/>
      <c r="AM9" s="10"/>
      <c r="AN9" s="10"/>
      <c r="AO9" s="10"/>
    </row>
    <row r="10" spans="2:41" x14ac:dyDescent="0.25">
      <c r="B10" s="7"/>
      <c r="C10" s="50" t="s">
        <v>19</v>
      </c>
      <c r="D10" s="51"/>
      <c r="E10" s="51"/>
      <c r="F10" s="51"/>
      <c r="G10" s="51"/>
      <c r="H10" s="51"/>
      <c r="I10" s="51"/>
      <c r="J10" s="51"/>
      <c r="K10" s="51"/>
      <c r="L10" s="51"/>
      <c r="M10" s="52"/>
      <c r="N10" s="53">
        <v>20</v>
      </c>
      <c r="O10" s="54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9"/>
      <c r="AG10" s="10" t="s">
        <v>20</v>
      </c>
      <c r="AH10" s="10">
        <v>1</v>
      </c>
      <c r="AI10" s="10"/>
      <c r="AJ10" s="10" t="b">
        <f>N10&gt;N11</f>
        <v>1</v>
      </c>
      <c r="AK10" s="10"/>
      <c r="AL10" s="10"/>
      <c r="AM10" s="10"/>
      <c r="AN10" s="10"/>
      <c r="AO10" s="10"/>
    </row>
    <row r="11" spans="2:41" x14ac:dyDescent="0.25">
      <c r="B11" s="7"/>
      <c r="C11" s="50" t="s">
        <v>21</v>
      </c>
      <c r="D11" s="51"/>
      <c r="E11" s="51"/>
      <c r="F11" s="51"/>
      <c r="G11" s="51"/>
      <c r="H11" s="51"/>
      <c r="I11" s="51"/>
      <c r="J11" s="51"/>
      <c r="K11" s="51"/>
      <c r="L11" s="51"/>
      <c r="M11" s="52"/>
      <c r="N11" s="53">
        <v>12</v>
      </c>
      <c r="O11" s="54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9"/>
      <c r="AG11" s="10" t="s">
        <v>22</v>
      </c>
      <c r="AH11" s="10">
        <v>0.5</v>
      </c>
      <c r="AI11" s="10"/>
      <c r="AJ11" s="10"/>
      <c r="AK11" s="10"/>
      <c r="AL11" s="10"/>
      <c r="AM11" s="10"/>
      <c r="AN11" s="11" t="str">
        <f>IF(QProfit,"Savings","Loss")</f>
        <v>Savings</v>
      </c>
      <c r="AO11" s="10"/>
    </row>
    <row r="12" spans="2:41" x14ac:dyDescent="0.25">
      <c r="B12" s="7"/>
      <c r="C12" s="50" t="s">
        <v>23</v>
      </c>
      <c r="D12" s="51"/>
      <c r="E12" s="51"/>
      <c r="F12" s="51"/>
      <c r="G12" s="51"/>
      <c r="H12" s="51"/>
      <c r="I12" s="51"/>
      <c r="J12" s="51"/>
      <c r="K12" s="51"/>
      <c r="L12" s="51"/>
      <c r="M12" s="52"/>
      <c r="N12" s="53">
        <v>1</v>
      </c>
      <c r="O12" s="54"/>
      <c r="P12" s="55" t="s">
        <v>24</v>
      </c>
      <c r="Q12" s="55"/>
      <c r="R12" s="56" t="s">
        <v>25</v>
      </c>
      <c r="S12" s="57"/>
      <c r="T12" s="57"/>
      <c r="U12" s="58"/>
      <c r="V12" s="8"/>
      <c r="W12" s="8"/>
      <c r="X12" s="49"/>
      <c r="Y12" s="49"/>
      <c r="Z12" s="49"/>
      <c r="AA12" s="9"/>
      <c r="AG12" s="10" t="s">
        <v>25</v>
      </c>
      <c r="AH12" s="10">
        <v>0.33333333333333331</v>
      </c>
      <c r="AI12" s="10"/>
      <c r="AJ12" s="11" t="s">
        <v>26</v>
      </c>
      <c r="AK12" s="10"/>
      <c r="AL12" s="10"/>
      <c r="AM12" s="10" t="str">
        <f>IF(QProfit,"Savings ","Loss ")&amp;"before retirement"</f>
        <v>Savings before retirement</v>
      </c>
      <c r="AN12" s="10">
        <f>C22</f>
        <v>800</v>
      </c>
      <c r="AO12" s="10"/>
    </row>
    <row r="13" spans="2:41" ht="15.75" thickBot="1" x14ac:dyDescent="0.3">
      <c r="B13" s="12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4"/>
      <c r="AG13" s="10" t="s">
        <v>27</v>
      </c>
      <c r="AH13" s="10">
        <v>0.16666666666666666</v>
      </c>
      <c r="AI13" s="10"/>
      <c r="AJ13" s="10" t="b">
        <f>N10=N11</f>
        <v>0</v>
      </c>
      <c r="AK13" s="10"/>
      <c r="AL13" s="10"/>
      <c r="AM13" s="10" t="str">
        <f>IF(QProfit,"Savings ","Loss ")&amp;"during retirement"</f>
        <v>Savings during retirement</v>
      </c>
      <c r="AN13" s="10">
        <f>C27</f>
        <v>480</v>
      </c>
      <c r="AO13" s="10"/>
    </row>
    <row r="14" spans="2:41" ht="15.75" thickBot="1" x14ac:dyDescent="0.3"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G14" s="10" t="s">
        <v>28</v>
      </c>
      <c r="AH14" s="10">
        <v>8.3333333333333329E-2</v>
      </c>
      <c r="AI14" s="10"/>
      <c r="AJ14" s="10"/>
      <c r="AK14" s="10"/>
      <c r="AL14" s="10"/>
      <c r="AM14" s="10"/>
      <c r="AN14" s="10"/>
      <c r="AO14" s="10"/>
    </row>
    <row r="15" spans="2:41" x14ac:dyDescent="0.25">
      <c r="B15" s="4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6"/>
      <c r="AG15" s="10" t="s">
        <v>29</v>
      </c>
      <c r="AH15" s="10">
        <v>4.1666666666666664E-2</v>
      </c>
      <c r="AI15" s="10"/>
      <c r="AJ15" s="10"/>
      <c r="AK15" s="10"/>
      <c r="AL15" s="10"/>
      <c r="AM15" s="10"/>
      <c r="AN15" s="10"/>
      <c r="AO15" s="10"/>
    </row>
    <row r="16" spans="2:41" x14ac:dyDescent="0.25">
      <c r="B16" s="7"/>
      <c r="C16" s="43" t="str">
        <f>IF(QProfit,"SAVINGS","LOSSES")</f>
        <v>SAVINGS</v>
      </c>
      <c r="D16" s="43"/>
      <c r="E16" s="43"/>
      <c r="F16" s="43"/>
      <c r="G16" s="43"/>
      <c r="H16" s="43"/>
      <c r="I16" s="8"/>
      <c r="J16" s="33" t="str">
        <f>IF(QProfit,"  Savings ","  Loss ")&amp;"per purchase"</f>
        <v xml:space="preserve">  Savings per purchase</v>
      </c>
      <c r="K16" s="34"/>
      <c r="L16" s="34"/>
      <c r="M16" s="34"/>
      <c r="N16" s="35"/>
      <c r="O16" s="15"/>
      <c r="P16" s="33" t="str">
        <f>IF(QProfit,"  Savings ","  Loss ")&amp;"per month"</f>
        <v xml:space="preserve">  Savings per month</v>
      </c>
      <c r="Q16" s="34"/>
      <c r="R16" s="34"/>
      <c r="S16" s="34"/>
      <c r="T16" s="35"/>
      <c r="U16" s="15"/>
      <c r="V16" s="33" t="str">
        <f>IF(QProfit,"  Savings ","  Loss ")&amp;"per year"</f>
        <v xml:space="preserve">  Savings per year</v>
      </c>
      <c r="W16" s="34"/>
      <c r="X16" s="34"/>
      <c r="Y16" s="34"/>
      <c r="Z16" s="35"/>
      <c r="AA16" s="9"/>
      <c r="AG16" s="10" t="s">
        <v>30</v>
      </c>
      <c r="AH16" s="10">
        <v>2.7777777777777776E-2</v>
      </c>
      <c r="AI16" s="10"/>
      <c r="AJ16" s="10"/>
      <c r="AK16" s="10"/>
      <c r="AL16" s="10"/>
      <c r="AM16" s="10"/>
      <c r="AN16" s="10"/>
      <c r="AO16" s="10"/>
    </row>
    <row r="17" spans="2:41" x14ac:dyDescent="0.25">
      <c r="B17" s="7"/>
      <c r="C17" s="8"/>
      <c r="D17" s="8"/>
      <c r="E17" s="8"/>
      <c r="F17" s="8"/>
      <c r="G17" s="8"/>
      <c r="H17" s="8"/>
      <c r="I17" s="8"/>
      <c r="J17" s="46">
        <f>IF(Control,FPrice-SPrice,"")</f>
        <v>8</v>
      </c>
      <c r="K17" s="47"/>
      <c r="L17" s="47"/>
      <c r="M17" s="47"/>
      <c r="N17" s="48"/>
      <c r="O17" s="8"/>
      <c r="P17" s="46">
        <f>IF(Control,Savingsperpurchase*Times*VLOOKUP(Frequency,QFrequency,2,FALSE),"")</f>
        <v>2.6666666666666665</v>
      </c>
      <c r="Q17" s="47"/>
      <c r="R17" s="47"/>
      <c r="S17" s="47"/>
      <c r="T17" s="48"/>
      <c r="U17" s="8"/>
      <c r="V17" s="40">
        <f>IF(Control,P17*12,"")</f>
        <v>32</v>
      </c>
      <c r="W17" s="41"/>
      <c r="X17" s="41"/>
      <c r="Y17" s="41"/>
      <c r="Z17" s="42"/>
      <c r="AA17" s="9"/>
      <c r="AG17" s="10"/>
      <c r="AH17" s="10"/>
      <c r="AI17" s="10"/>
      <c r="AJ17" s="10"/>
      <c r="AK17" s="10"/>
      <c r="AL17" s="10"/>
      <c r="AM17" s="10"/>
      <c r="AN17" s="10"/>
      <c r="AO17" s="10"/>
    </row>
    <row r="18" spans="2:41" x14ac:dyDescent="0.25">
      <c r="B18" s="7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9"/>
    </row>
    <row r="19" spans="2:41" x14ac:dyDescent="0.25">
      <c r="B19" s="7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9"/>
    </row>
    <row r="20" spans="2:41" x14ac:dyDescent="0.25">
      <c r="B20" s="7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9"/>
    </row>
    <row r="21" spans="2:41" x14ac:dyDescent="0.25">
      <c r="B21" s="7"/>
      <c r="C21" s="33" t="str">
        <f>IF(QProfit,"  Savings ","  Loss ")&amp;"before Retirement"</f>
        <v xml:space="preserve">  Savings before Retirement</v>
      </c>
      <c r="D21" s="34"/>
      <c r="E21" s="34"/>
      <c r="F21" s="34"/>
      <c r="G21" s="34"/>
      <c r="H21" s="35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9"/>
    </row>
    <row r="22" spans="2:41" x14ac:dyDescent="0.25">
      <c r="B22" s="7"/>
      <c r="C22" s="40">
        <f>IF(Control,V17*(RetAge-Age),"")</f>
        <v>800</v>
      </c>
      <c r="D22" s="41"/>
      <c r="E22" s="41"/>
      <c r="F22" s="41"/>
      <c r="G22" s="41"/>
      <c r="H22" s="42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9"/>
    </row>
    <row r="23" spans="2:41" x14ac:dyDescent="0.25">
      <c r="B23" s="7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9"/>
    </row>
    <row r="24" spans="2:41" x14ac:dyDescent="0.25">
      <c r="B24" s="7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9"/>
    </row>
    <row r="25" spans="2:41" x14ac:dyDescent="0.25">
      <c r="B25" s="7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9"/>
    </row>
    <row r="26" spans="2:41" x14ac:dyDescent="0.25">
      <c r="B26" s="7"/>
      <c r="C26" s="33" t="str">
        <f>IF(QProfit,"  Savings ","  Loss ")&amp;"during Retirement"</f>
        <v xml:space="preserve">  Savings during Retirement</v>
      </c>
      <c r="D26" s="34"/>
      <c r="E26" s="34"/>
      <c r="F26" s="34"/>
      <c r="G26" s="34"/>
      <c r="H26" s="35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9"/>
    </row>
    <row r="27" spans="2:41" x14ac:dyDescent="0.25">
      <c r="B27" s="7"/>
      <c r="C27" s="40">
        <f>IF(Control,V17*(TarAge-RetAge),"")</f>
        <v>480</v>
      </c>
      <c r="D27" s="41"/>
      <c r="E27" s="41"/>
      <c r="F27" s="41"/>
      <c r="G27" s="41"/>
      <c r="H27" s="42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9"/>
    </row>
    <row r="28" spans="2:41" x14ac:dyDescent="0.25">
      <c r="B28" s="7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9"/>
    </row>
    <row r="29" spans="2:41" ht="15.75" thickBot="1" x14ac:dyDescent="0.3">
      <c r="B29" s="12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4"/>
    </row>
    <row r="30" spans="2:41" ht="15.75" thickBot="1" x14ac:dyDescent="0.3"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6"/>
    </row>
    <row r="31" spans="2:41" x14ac:dyDescent="0.25">
      <c r="B31" s="4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6"/>
      <c r="AB31" s="16"/>
    </row>
    <row r="32" spans="2:41" x14ac:dyDescent="0.25">
      <c r="B32" s="7"/>
      <c r="C32" s="43" t="s">
        <v>31</v>
      </c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9"/>
      <c r="AB32" s="16"/>
    </row>
    <row r="33" spans="2:27" x14ac:dyDescent="0.25">
      <c r="B33" s="7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9"/>
    </row>
    <row r="34" spans="2:27" x14ac:dyDescent="0.25">
      <c r="B34" s="7"/>
      <c r="C34" s="44" t="s">
        <v>32</v>
      </c>
      <c r="D34" s="44"/>
      <c r="E34" s="44"/>
      <c r="F34" s="44"/>
      <c r="G34" s="44"/>
      <c r="H34" s="44"/>
      <c r="I34" s="44"/>
      <c r="J34" s="45">
        <v>8</v>
      </c>
      <c r="K34" s="45"/>
      <c r="L34" s="17" t="s">
        <v>33</v>
      </c>
      <c r="M34" s="8"/>
      <c r="N34" s="8"/>
      <c r="O34" s="8"/>
      <c r="P34" s="8"/>
      <c r="Q34" s="36" t="s">
        <v>34</v>
      </c>
      <c r="R34" s="36"/>
      <c r="S34" s="36"/>
      <c r="T34" s="36"/>
      <c r="U34" s="36"/>
      <c r="V34" s="36"/>
      <c r="W34" s="36"/>
      <c r="X34" s="37">
        <f>IF(AND(QProfit,Control),-FV(InterestRate/100,RetAge-Age,V17),"")</f>
        <v>2339.3900784877301</v>
      </c>
      <c r="Y34" s="37"/>
      <c r="Z34" s="37"/>
      <c r="AA34" s="9"/>
    </row>
    <row r="35" spans="2:27" x14ac:dyDescent="0.25">
      <c r="B35" s="7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39" t="s">
        <v>35</v>
      </c>
      <c r="R35" s="39"/>
      <c r="S35" s="39"/>
      <c r="T35" s="39"/>
      <c r="U35" s="39"/>
      <c r="V35" s="39"/>
      <c r="W35" s="39"/>
      <c r="X35" s="38"/>
      <c r="Y35" s="38"/>
      <c r="Z35" s="38"/>
      <c r="AA35" s="9"/>
    </row>
    <row r="36" spans="2:27" x14ac:dyDescent="0.25">
      <c r="B36" s="7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9"/>
    </row>
    <row r="37" spans="2:27" x14ac:dyDescent="0.25">
      <c r="B37" s="7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36" t="s">
        <v>36</v>
      </c>
      <c r="R37" s="36"/>
      <c r="S37" s="36"/>
      <c r="T37" s="36"/>
      <c r="U37" s="36"/>
      <c r="V37" s="36"/>
      <c r="W37" s="36"/>
      <c r="X37" s="37">
        <f>IF(AND(QProfit,Control),-PMT(InterestRate/100,TarAge-RetAge,X34/12),"")</f>
        <v>22.775823191463477</v>
      </c>
      <c r="Y37" s="37"/>
      <c r="Z37" s="37"/>
      <c r="AA37" s="9"/>
    </row>
    <row r="38" spans="2:27" x14ac:dyDescent="0.25">
      <c r="B38" s="7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39" t="s">
        <v>37</v>
      </c>
      <c r="R38" s="39"/>
      <c r="S38" s="39"/>
      <c r="T38" s="39"/>
      <c r="U38" s="39"/>
      <c r="V38" s="39"/>
      <c r="W38" s="39"/>
      <c r="X38" s="38"/>
      <c r="Y38" s="38"/>
      <c r="Z38" s="38"/>
      <c r="AA38" s="9"/>
    </row>
    <row r="39" spans="2:27" ht="15.75" thickBot="1" x14ac:dyDescent="0.3">
      <c r="B39" s="12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4"/>
    </row>
  </sheetData>
  <sheetProtection selectLockedCells="1"/>
  <mergeCells count="38">
    <mergeCell ref="C8:M8"/>
    <mergeCell ref="N8:O8"/>
    <mergeCell ref="C3:Z3"/>
    <mergeCell ref="C6:M6"/>
    <mergeCell ref="N6:O6"/>
    <mergeCell ref="C7:M7"/>
    <mergeCell ref="N7:O7"/>
    <mergeCell ref="C9:M9"/>
    <mergeCell ref="N9:O9"/>
    <mergeCell ref="C10:M10"/>
    <mergeCell ref="N10:O10"/>
    <mergeCell ref="C11:M11"/>
    <mergeCell ref="N11:O11"/>
    <mergeCell ref="X12:Z12"/>
    <mergeCell ref="C16:H16"/>
    <mergeCell ref="J16:N16"/>
    <mergeCell ref="P16:T16"/>
    <mergeCell ref="V16:Z16"/>
    <mergeCell ref="C12:M12"/>
    <mergeCell ref="N12:O12"/>
    <mergeCell ref="P12:Q12"/>
    <mergeCell ref="R12:U12"/>
    <mergeCell ref="J17:N17"/>
    <mergeCell ref="P17:T17"/>
    <mergeCell ref="V17:Z17"/>
    <mergeCell ref="C21:H21"/>
    <mergeCell ref="C22:H22"/>
    <mergeCell ref="C26:H26"/>
    <mergeCell ref="Q37:W37"/>
    <mergeCell ref="X37:Z38"/>
    <mergeCell ref="Q38:W38"/>
    <mergeCell ref="C27:H27"/>
    <mergeCell ref="C32:Z32"/>
    <mergeCell ref="C34:I34"/>
    <mergeCell ref="J34:K34"/>
    <mergeCell ref="Q34:W34"/>
    <mergeCell ref="X34:Z35"/>
    <mergeCell ref="Q35:W35"/>
  </mergeCells>
  <dataValidations count="1">
    <dataValidation type="list" allowBlank="1" showInputMessage="1" showErrorMessage="1" sqref="R12">
      <formula1>L_Frequency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3"/>
  <dimension ref="B1:AB24"/>
  <sheetViews>
    <sheetView showGridLines="0" workbookViewId="0">
      <selection activeCell="C3" sqref="C3:Z3"/>
    </sheetView>
  </sheetViews>
  <sheetFormatPr defaultRowHeight="15" x14ac:dyDescent="0.25"/>
  <cols>
    <col min="1" max="46" width="4.7109375" style="2" customWidth="1"/>
    <col min="47" max="16384" width="9.140625" style="2"/>
  </cols>
  <sheetData>
    <row r="1" spans="2:28" ht="15.75" thickBot="1" x14ac:dyDescent="0.3"/>
    <row r="2" spans="2:28" ht="15.75" thickTop="1" x14ac:dyDescent="0.25">
      <c r="B2" s="18"/>
      <c r="C2" s="19"/>
      <c r="D2" s="19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1"/>
      <c r="AB2" s="22"/>
    </row>
    <row r="3" spans="2:28" ht="18.75" x14ac:dyDescent="0.25">
      <c r="B3" s="23"/>
      <c r="C3" s="24"/>
      <c r="D3" s="61" t="s">
        <v>38</v>
      </c>
      <c r="E3" s="61"/>
      <c r="F3" s="61"/>
      <c r="G3" s="61"/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25"/>
      <c r="AB3" s="22"/>
    </row>
    <row r="4" spans="2:28" x14ac:dyDescent="0.25">
      <c r="B4" s="23"/>
      <c r="C4" s="26" t="s">
        <v>39</v>
      </c>
      <c r="D4" s="24" t="s">
        <v>40</v>
      </c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7"/>
      <c r="AB4" s="28"/>
    </row>
    <row r="5" spans="2:28" x14ac:dyDescent="0.25">
      <c r="B5" s="23"/>
      <c r="C5" s="26"/>
      <c r="D5" s="24" t="s">
        <v>41</v>
      </c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7"/>
      <c r="AB5" s="28"/>
    </row>
    <row r="6" spans="2:28" x14ac:dyDescent="0.25">
      <c r="B6" s="23"/>
      <c r="C6" s="26" t="s">
        <v>39</v>
      </c>
      <c r="D6" s="24" t="s">
        <v>42</v>
      </c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  <c r="AA6" s="27"/>
      <c r="AB6" s="28"/>
    </row>
    <row r="7" spans="2:28" x14ac:dyDescent="0.25">
      <c r="B7" s="23"/>
      <c r="C7" s="26" t="s">
        <v>43</v>
      </c>
      <c r="D7" s="24" t="s">
        <v>44</v>
      </c>
      <c r="E7" s="24"/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7"/>
      <c r="AB7" s="28"/>
    </row>
    <row r="8" spans="2:28" x14ac:dyDescent="0.25">
      <c r="B8" s="23"/>
      <c r="C8" s="24"/>
      <c r="D8" s="29" t="s">
        <v>45</v>
      </c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  <c r="AA8" s="27"/>
      <c r="AB8" s="28"/>
    </row>
    <row r="9" spans="2:28" x14ac:dyDescent="0.25">
      <c r="B9" s="23"/>
      <c r="C9" s="24"/>
      <c r="D9" s="24" t="s">
        <v>46</v>
      </c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7"/>
      <c r="AB9" s="28"/>
    </row>
    <row r="10" spans="2:28" x14ac:dyDescent="0.25">
      <c r="B10" s="23"/>
      <c r="C10" s="26" t="s">
        <v>47</v>
      </c>
      <c r="D10" s="24" t="s">
        <v>44</v>
      </c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7"/>
      <c r="AB10" s="28"/>
    </row>
    <row r="11" spans="2:28" x14ac:dyDescent="0.25">
      <c r="B11" s="23"/>
      <c r="C11" s="24"/>
      <c r="D11" s="29" t="s">
        <v>48</v>
      </c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7"/>
      <c r="AB11" s="28"/>
    </row>
    <row r="12" spans="2:28" x14ac:dyDescent="0.25">
      <c r="B12" s="23"/>
      <c r="C12" s="24"/>
      <c r="D12" s="24" t="s">
        <v>49</v>
      </c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7"/>
      <c r="AB12" s="28"/>
    </row>
    <row r="13" spans="2:28" x14ac:dyDescent="0.25">
      <c r="B13" s="23"/>
      <c r="C13" s="26" t="s">
        <v>50</v>
      </c>
      <c r="D13" s="24" t="s">
        <v>51</v>
      </c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27"/>
      <c r="AB13" s="28"/>
    </row>
    <row r="14" spans="2:28" x14ac:dyDescent="0.25">
      <c r="B14" s="23"/>
      <c r="C14" s="24"/>
      <c r="D14" s="24" t="s">
        <v>52</v>
      </c>
      <c r="E14" s="24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7"/>
      <c r="AB14" s="28"/>
    </row>
    <row r="15" spans="2:28" x14ac:dyDescent="0.25">
      <c r="B15" s="23"/>
      <c r="C15" s="26" t="s">
        <v>39</v>
      </c>
      <c r="D15" s="24" t="s">
        <v>53</v>
      </c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  <c r="AA15" s="27"/>
      <c r="AB15" s="28"/>
    </row>
    <row r="16" spans="2:28" x14ac:dyDescent="0.25">
      <c r="B16" s="23"/>
      <c r="C16" s="26"/>
      <c r="D16" s="29" t="s">
        <v>54</v>
      </c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27"/>
      <c r="AB16" s="28"/>
    </row>
    <row r="17" spans="2:28" x14ac:dyDescent="0.25">
      <c r="B17" s="23"/>
      <c r="C17" s="26" t="s">
        <v>39</v>
      </c>
      <c r="D17" s="24" t="s">
        <v>55</v>
      </c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7"/>
      <c r="AB17" s="28"/>
    </row>
    <row r="18" spans="2:28" x14ac:dyDescent="0.25">
      <c r="B18" s="23"/>
      <c r="C18" s="26"/>
      <c r="D18" s="29" t="s">
        <v>56</v>
      </c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27"/>
      <c r="AB18" s="28"/>
    </row>
    <row r="19" spans="2:28" ht="15.75" thickBot="1" x14ac:dyDescent="0.3">
      <c r="B19" s="30"/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2"/>
      <c r="AB19" s="28"/>
    </row>
    <row r="20" spans="2:28" ht="15.75" thickTop="1" x14ac:dyDescent="0.25"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</row>
    <row r="21" spans="2:28" x14ac:dyDescent="0.25">
      <c r="B21" s="28"/>
      <c r="C21" s="28"/>
      <c r="D21" s="2" t="s">
        <v>57</v>
      </c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</row>
    <row r="22" spans="2:28" x14ac:dyDescent="0.25"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</row>
    <row r="23" spans="2:28" x14ac:dyDescent="0.25"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</row>
    <row r="24" spans="2:28" x14ac:dyDescent="0.25"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</row>
  </sheetData>
  <mergeCells count="1">
    <mergeCell ref="D3:Z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8"/>
  <sheetViews>
    <sheetView workbookViewId="0">
      <selection activeCell="C36" sqref="C36"/>
    </sheetView>
  </sheetViews>
  <sheetFormatPr defaultRowHeight="12.75" x14ac:dyDescent="0.2"/>
  <cols>
    <col min="1" max="1" width="3.85546875" customWidth="1"/>
    <col min="2" max="2" width="24.28515625" customWidth="1"/>
  </cols>
  <sheetData>
    <row r="1" spans="1:3" x14ac:dyDescent="0.2">
      <c r="A1" t="s">
        <v>6</v>
      </c>
    </row>
    <row r="2" spans="1:3" x14ac:dyDescent="0.2">
      <c r="A2">
        <v>1</v>
      </c>
      <c r="B2" t="s">
        <v>0</v>
      </c>
    </row>
    <row r="3" spans="1:3" x14ac:dyDescent="0.2">
      <c r="A3">
        <v>2</v>
      </c>
      <c r="B3" t="s">
        <v>3</v>
      </c>
      <c r="C3" t="s">
        <v>8</v>
      </c>
    </row>
    <row r="4" spans="1:3" x14ac:dyDescent="0.2">
      <c r="A4">
        <v>3</v>
      </c>
      <c r="B4" t="s">
        <v>4</v>
      </c>
      <c r="C4" t="s">
        <v>8</v>
      </c>
    </row>
    <row r="6" spans="1:3" x14ac:dyDescent="0.2">
      <c r="A6" t="s">
        <v>7</v>
      </c>
    </row>
    <row r="7" spans="1:3" x14ac:dyDescent="0.2">
      <c r="A7">
        <v>1</v>
      </c>
      <c r="B7" t="s">
        <v>5</v>
      </c>
      <c r="C7">
        <v>50</v>
      </c>
    </row>
    <row r="8" spans="1:3" x14ac:dyDescent="0.2">
      <c r="A8">
        <v>2</v>
      </c>
      <c r="B8" t="s">
        <v>1</v>
      </c>
      <c r="C8" t="s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19</vt:i4>
      </vt:variant>
    </vt:vector>
  </HeadingPairs>
  <TitlesOfParts>
    <vt:vector size="22" baseType="lpstr">
      <vt:lpstr>Lifetime Savings</vt:lpstr>
      <vt:lpstr>Readme</vt:lpstr>
      <vt:lpstr>gate</vt:lpstr>
      <vt:lpstr>Age</vt:lpstr>
      <vt:lpstr>Control</vt:lpstr>
      <vt:lpstr>FPrice</vt:lpstr>
      <vt:lpstr>Frequency</vt:lpstr>
      <vt:lpstr>InterestRate</vt:lpstr>
      <vt:lpstr>L_Frequency</vt:lpstr>
      <vt:lpstr>params</vt:lpstr>
      <vt:lpstr>QFrequency</vt:lpstr>
      <vt:lpstr>QIndiff</vt:lpstr>
      <vt:lpstr>QProfit</vt:lpstr>
      <vt:lpstr>RetAge</vt:lpstr>
      <vt:lpstr>returns</vt:lpstr>
      <vt:lpstr>runMacro</vt:lpstr>
      <vt:lpstr>Savingsperpurchase</vt:lpstr>
      <vt:lpstr>set_maxSetting</vt:lpstr>
      <vt:lpstr>set_sheetname</vt:lpstr>
      <vt:lpstr>SPrice</vt:lpstr>
      <vt:lpstr>TarAge</vt:lpstr>
      <vt:lpstr>Times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Maulana Almatien</cp:lastModifiedBy>
  <dcterms:modified xsi:type="dcterms:W3CDTF">2013-09-18T19:54:17Z</dcterms:modified>
</cp:coreProperties>
</file>